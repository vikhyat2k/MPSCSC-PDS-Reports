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tor Detail" state="visible" r:id="rId4"/>
    <sheet sheetId="2" name="Dashboard" state="visible" r:id="rId5"/>
    <sheet sheetId="3" name="Block Summary" state="visible" r:id="rId6"/>
    <sheet sheetId="4" name="Transporter Analysis" state="visible" r:id="rId7"/>
    <sheet sheetId="5" name="Action Plan" state="visible" r:id="rId8"/>
  </sheets>
  <calcPr calcId="171027"/>
</workbook>
</file>

<file path=xl/sharedStrings.xml><?xml version="1.0" encoding="utf-8"?>
<sst xmlns="http://schemas.openxmlformats.org/spreadsheetml/2006/main" count="319" uniqueCount="165">
  <si>
    <t>उन्नत सेक्टर विश्लेषण डेटाबेस / Sector Detailed Analytics Database — October 2026</t>
  </si>
  <si>
    <t>KEY</t>
  </si>
  <si>
    <t>FORMULA_VALUE</t>
  </si>
  <si>
    <t>जिला कार्यालय बैतूल · म.प्र. राज्य नागरिक आपूर्ति निगम | Report Date: 19/09/2026</t>
  </si>
  <si>
    <t>Total Allocation</t>
  </si>
  <si>
    <t xml:space="preserve">Sr.No
क्र.</t>
  </si>
  <si>
    <t xml:space="preserve">Block
ब्लॉक</t>
  </si>
  <si>
    <t xml:space="preserve">Sector Name
सेक्टर नाम</t>
  </si>
  <si>
    <t xml:space="preserve">Shops
दुकाने</t>
  </si>
  <si>
    <t xml:space="preserve">Allocation (Qt)
आवंटन</t>
  </si>
  <si>
    <t xml:space="preserve">Dispatch (Qt)
उठाव</t>
  </si>
  <si>
    <t xml:space="preserve">Lift %
उठाव %</t>
  </si>
  <si>
    <t xml:space="preserve">POS Receipt %
POS प्राप्ति %</t>
  </si>
  <si>
    <t xml:space="preserve">POS Gap (pp)
POS अंतर</t>
  </si>
  <si>
    <t xml:space="preserve">Remaining (Qt)
लंबित मात्रा</t>
  </si>
  <si>
    <t xml:space="preserve">Risk Tier
जोखिम श्रेणी</t>
  </si>
  <si>
    <t xml:space="preserve">District Rank
जिला रैंक</t>
  </si>
  <si>
    <t xml:space="preserve">Transporter Name
परिवहनकर्ता</t>
  </si>
  <si>
    <t xml:space="preserve">Mobile Number
मोबाइल नंबर</t>
  </si>
  <si>
    <t>Total Dispatch</t>
  </si>
  <si>
    <t>बैतूल</t>
  </si>
  <si>
    <t>बैतूल सेक्टर क्र 1</t>
  </si>
  <si>
    <t>श्री प्रदीप सिंह</t>
  </si>
  <si>
    <t>6268969949</t>
  </si>
  <si>
    <t>District Lift Pct</t>
  </si>
  <si>
    <t>बैतूल सेक्टर क्र 2</t>
  </si>
  <si>
    <t>श्री पीयूष आर्य</t>
  </si>
  <si>
    <t>9977060636</t>
  </si>
  <si>
    <t>Pending Qty</t>
  </si>
  <si>
    <t>बैतूल सेक्टर क्र 3</t>
  </si>
  <si>
    <t>श्री राहुल परिहार</t>
  </si>
  <si>
    <t>7489479209</t>
  </si>
  <si>
    <t>Avg POS Receipt Pct</t>
  </si>
  <si>
    <t>शाहपुर</t>
  </si>
  <si>
    <t>शाहपुर सेक्टर क्र 4</t>
  </si>
  <si>
    <t>श्री विनोद यादव</t>
  </si>
  <si>
    <t>9009236960</t>
  </si>
  <si>
    <t>Critical Sectors</t>
  </si>
  <si>
    <t>शाहपुर सेक्टर क्र 5</t>
  </si>
  <si>
    <t>श्री प्रितम कावरे</t>
  </si>
  <si>
    <t>9644152518</t>
  </si>
  <si>
    <t>Watch Sectors</t>
  </si>
  <si>
    <t>घोडाडोंगरी</t>
  </si>
  <si>
    <t>घोडाडोंगरी सेक्टर क्र 6</t>
  </si>
  <si>
    <t>श्री साजन राठौर</t>
  </si>
  <si>
    <t>9685311795</t>
  </si>
  <si>
    <t>Excellent Sectors</t>
  </si>
  <si>
    <t>घोडाडोंगरी सेक्टर क्र 7</t>
  </si>
  <si>
    <t>श्री मुकेश राठौर</t>
  </si>
  <si>
    <t>8319253402</t>
  </si>
  <si>
    <t>घोडाडोंगरी सेक्टर क्र 8</t>
  </si>
  <si>
    <t>श्री अंकित राठौर</t>
  </si>
  <si>
    <t>9425006557</t>
  </si>
  <si>
    <t>चिचोली</t>
  </si>
  <si>
    <t>चिचोली सेक्टर क्र 9</t>
  </si>
  <si>
    <t>श्री सौरभ भारद्वाज</t>
  </si>
  <si>
    <t>8109700701</t>
  </si>
  <si>
    <t>भीमपुर</t>
  </si>
  <si>
    <t>भीमपुर सेक्टर क्र 10</t>
  </si>
  <si>
    <t>श्री नीलू रैचे</t>
  </si>
  <si>
    <t>9806081360</t>
  </si>
  <si>
    <t>भीमपुर सेक्टर क्र 11</t>
  </si>
  <si>
    <t>भैसदेही</t>
  </si>
  <si>
    <t>भैसदेही सेक्टर क्र 12</t>
  </si>
  <si>
    <t>श्री अभिषेक मालवीय</t>
  </si>
  <si>
    <t>9669921969</t>
  </si>
  <si>
    <t>भैसदेही सेक्टर क्र 13</t>
  </si>
  <si>
    <t>श्री दिनेश लिखितकर</t>
  </si>
  <si>
    <t>9770142072</t>
  </si>
  <si>
    <t>आठनेर</t>
  </si>
  <si>
    <t>आठनेर सेक्टर क्र 14</t>
  </si>
  <si>
    <t>श्री सुभाष राठौर</t>
  </si>
  <si>
    <t>9406566700</t>
  </si>
  <si>
    <t>आठनेर सेक्टर क्र 15</t>
  </si>
  <si>
    <t>श्री निलेश सोनी</t>
  </si>
  <si>
    <t>9754226851</t>
  </si>
  <si>
    <t>प्रभातपटटन</t>
  </si>
  <si>
    <t>प्रभातपटटन सेक्टर क्र 16</t>
  </si>
  <si>
    <t>श्री दुर्गादास सोनारे</t>
  </si>
  <si>
    <t>9975003109</t>
  </si>
  <si>
    <t>प्रभातपटटन सेक्टर क्र 17</t>
  </si>
  <si>
    <t>श्री ओमप्रकाश भोपते</t>
  </si>
  <si>
    <t>8989100399</t>
  </si>
  <si>
    <t>मुलताई</t>
  </si>
  <si>
    <t>मुलताई क्र सेक्टर 18</t>
  </si>
  <si>
    <t>श्री जितेन्द्र सिंह</t>
  </si>
  <si>
    <t>9399942746</t>
  </si>
  <si>
    <t>मुलताई सेक्टर क्र 19</t>
  </si>
  <si>
    <t>श्री विरेन्द्र परिहार</t>
  </si>
  <si>
    <t>7389431405</t>
  </si>
  <si>
    <t>आमला</t>
  </si>
  <si>
    <t>आमला सेक्टर क्र 20</t>
  </si>
  <si>
    <t>श्री रविन्द्र सिंह तोमर</t>
  </si>
  <si>
    <t>9893903157</t>
  </si>
  <si>
    <t>आमला सेक्टर क्र 21</t>
  </si>
  <si>
    <t>श्री नीतेश साहू</t>
  </si>
  <si>
    <t>9755829852</t>
  </si>
  <si>
    <t>भीमपुर सेक्टर क्र 22</t>
  </si>
  <si>
    <t>श्री योगेश यादव</t>
  </si>
  <si>
    <t>7089363619</t>
  </si>
  <si>
    <t/>
  </si>
  <si>
    <t>जिला कुल (DISTRICT TOTAL)</t>
  </si>
  <si>
    <t>TOTAL</t>
  </si>
  <si>
    <t>-</t>
  </si>
  <si>
    <t>📊 कार्यकारी डैशबोर्ड / Executive Analytics Dashboard — October 2026</t>
  </si>
  <si>
    <t>मध्य प्रदेश राज्य नागरिक आपूर्ति निगम, जिला कार्यालय बैतूल | NFSA मासिक उठाव एवं POS समीक्षा</t>
  </si>
  <si>
    <t>कुल आवंटन / Total Allocation (Qt)</t>
  </si>
  <si>
    <t>कुल उठाव / Total Dispatch (Qt)</t>
  </si>
  <si>
    <t>जिला उठाव % / District Lift %</t>
  </si>
  <si>
    <t>लंबित मात्रा / Pending Quantity (Qt)</t>
  </si>
  <si>
    <t>औसत POS प्राप्ति % / Avg POS Receipt %</t>
  </si>
  <si>
    <t>गंभीर सेक्टर / Critical Sectors (&lt;70%)</t>
  </si>
  <si>
    <t>निगरानी सेक्टर / Watch Sectors (70-85%)</t>
  </si>
  <si>
    <t>उत्कृष्ट सेक्टर / Excellent Sectors (&gt;=95%)</t>
  </si>
  <si>
    <t>ब्लॉक-वार उठाव प्रदर्शन सारांश / Block-wise Lifting Performance Summary — October 2026</t>
  </si>
  <si>
    <t xml:space="preserve">Block Name
ब्लॉक नाम</t>
  </si>
  <si>
    <t xml:space="preserve">Sectors Count
सेक्टर संख्या</t>
  </si>
  <si>
    <t xml:space="preserve">Allocation (Qt)
कुल आवंटन</t>
  </si>
  <si>
    <t xml:space="preserve">Dispatch (Qt)
कुल उठाव</t>
  </si>
  <si>
    <t xml:space="preserve">Block Rank
ब्लॉक रैंक</t>
  </si>
  <si>
    <t>कुल योग (TOTAL)</t>
  </si>
  <si>
    <t>परिवहनकर्ता कार्यक्षमता एवं क्षमता समीक्षा / Transporter Performance &amp; Capacity Analysis — October 2026</t>
  </si>
  <si>
    <t xml:space="preserve">Transporter Name
परिवहनकर्ता नाम</t>
  </si>
  <si>
    <t xml:space="preserve">Sector / Block
सेक्टर / ब्लॉक</t>
  </si>
  <si>
    <t xml:space="preserve">Capacity Remark
क्षमता टिप्पणी</t>
  </si>
  <si>
    <t>बैतूल सेक्टर क्र 2, भीमपुर सेक्टर क्र 11</t>
  </si>
  <si>
    <t>🎯 प्राथमिकता कार्रवाई योजना / Priority Action Plan (Lift % &lt; 85%) — October 2026</t>
  </si>
  <si>
    <t xml:space="preserve">Transporter &amp; Mobile
परिवहनकर्ता एवं संपर्क</t>
  </si>
  <si>
    <t xml:space="preserve">Recommended Action
अनुशंसित त्वरित कार्रवाई</t>
  </si>
  <si>
    <t>गंभीर</t>
  </si>
  <si>
    <t>श्री रविन्द्र सिंह तोमर (9893903157)</t>
  </si>
  <si>
    <t>48 घंटे के भीतर प्रदाय सुनिश्चित करें एवं समीक्षा करें / Ensure dispatch &amp; review within 48 hours</t>
  </si>
  <si>
    <t>श्री विरेन्द्र परिहार (7389431405)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</si>
  <si>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(+17.6%) - दुकान स्तर एंट्री सत्यापित करें]</t>
  </si>
  <si>
    <t>श्री नीतेश साहू (9755829852)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</si>
  <si>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(+15.9%) - दुकान स्तर एंट्री सत्यापित करें]</t>
  </si>
  <si>
    <t>श्री जितेन्द्र सिंह (9399942746)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</si>
  <si>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(+17.8%) - दुकान स्तर एंट्री सत्यापित करें]</t>
  </si>
  <si>
    <t>श्री ओमप्रकाश भोपते (8989100399)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</si>
  <si>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(+19.9%) - दुकान स्तर एंट्री सत्यापित करें]</t>
  </si>
  <si>
    <t>श्री दुर्गादास सोनारे (9975003109)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</si>
  <si>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(+21.3%) - दुकान स्तर एंट्री सत्यापित करें]</t>
  </si>
  <si>
    <t>श्री राहुल परिहार (7489479209)</t>
  </si>
  <si>
    <t>श्री सुभाष राठौर (9406566700)</t>
  </si>
  <si>
    <t>श्री पीयूष आर्य (9977060636)</t>
  </si>
  <si>
    <t>श्री साजन राठौर (9685311795)</t>
  </si>
  <si>
    <t>श्री योगेश यादव (7089363619)</t>
  </si>
  <si>
    <t>श्री सौरभ भारद्वाज (8109700701)</t>
  </si>
  <si>
    <t>श्री नीलू रैचे (9806081360)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</si>
  <si>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(+26.0%) - दुकान स्तर एंट्री सत्यापित करें]</t>
  </si>
  <si>
    <t>श्री निलेश सोनी (9754226851)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</si>
  <si>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(+32.5%) - दुकान स्तर एंट्री सत्यापित करें]</t>
  </si>
  <si>
    <t>श्री विनोद यादव (9009236960)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</si>
  <si>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(+15.2%) - दुकान स्तर एंट्री सत्यापित करें]</t>
  </si>
  <si>
    <t>श्री प्रदीप सिंह (6268969949)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</si>
  <si>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(+31.5%) - दुकान स्तर एंट्री सत्यापित करें]</t>
  </si>
  <si>
    <t>श्री प्रितम कावरे (9644152518)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</si>
  <si>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(+37.3%) - दुकान स्तर एंट्री सत्यापित करें]</t>
  </si>
  <si>
    <t>श्री मुकेश राठौर (8319253402)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</si>
  <si>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(+24.2%) - दुकान स्तर एंट्री सत्यापित करें]</t>
  </si>
  <si>
    <t>श्री दिनेश लिखितकर (9770142072)</t>
  </si>
  <si>
    <t>श्री अंकित राठौर (9425006557)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</si>
  <si>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(+29.8%) - दुकान स्तर एंट्री सत्यापित करें]</t>
  </si>
  <si>
    <t>श्री अभिषेक मालवीय (9669921969)</t>
  </si>
  <si>
    <t xml:space="preserve">48 घंटे के भीतर प्रदाय सुनिश्चित करें एवं समीक्षा करें / Ensure dispatch &amp; review within 48 hours
[ध्वज: POS फीडिंग विलंब (+23.1%) - दुकान स्तर एंट्री सत्यापित करें]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</si>
</sst>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i/>
      <color rgb="333333"/>
      <sz val="10"/>
      <name val="Arial"/>
    </font>
    <font>
      <b/>
      <color rgb="FFFFFF"/>
      <sz val="10"/>
      <name val="Arial"/>
    </font>
    <font>
      <sz val="9"/>
      <name val="Arial"/>
    </font>
    <font>
      <b/>
      <color rgb="0B2545"/>
      <sz val="10"/>
      <name val="Arial"/>
    </font>
    <font>
      <b/>
      <color rgb="FFFFFF"/>
      <sz val="16"/>
      <name val="Arial"/>
    </font>
    <font>
      <i/>
      <color rgb="444444"/>
      <sz val="11"/>
      <name val="Arial"/>
    </font>
    <font>
      <b/>
      <color rgb="555555"/>
      <sz val="9"/>
      <name val="Arial"/>
    </font>
    <font>
      <b/>
      <color rgb="0B2545"/>
      <sz val="16"/>
      <name val="Arial"/>
    </font>
    <font>
      <b/>
      <color rgb="92400E"/>
      <sz val="9"/>
      <name val="Arial"/>
    </font>
    <font>
      <b/>
      <color rgb="FFFFFF"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0B2545"/>
      </patternFill>
    </fill>
    <fill>
      <patternFill patternType="solid">
        <fgColor rgb="E6ECF5"/>
      </patternFill>
    </fill>
    <fill>
      <patternFill patternType="solid">
        <fgColor rgb="F4F6F8"/>
      </patternFill>
    </fill>
    <fill>
      <patternFill patternType="solid">
        <fgColor rgb="FEF3C7"/>
      </patternFill>
    </fill>
    <fill>
      <patternFill patternType="solid">
        <fgColor rgb="1E7B4D"/>
      </patternFill>
    </fill>
    <fill>
      <patternFill patternType="solid">
        <fgColor rgb="B23A2E"/>
      </patternFill>
    </fill>
    <fill>
      <patternFill patternType="solid">
        <fgColor rgb="FFFFFF"/>
      </patternFill>
    </fill>
    <fill>
      <patternFill patternType="solid">
        <fgColor rgb="2E6F95"/>
      </patternFill>
    </fill>
    <fill>
      <patternFill patternType="solid">
        <fgColor rgb="D98E0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C9A227"/>
      </bottom>
      <diagonal/>
    </border>
    <border>
      <left/>
      <right/>
      <top style="thin">
        <color rgb="C9A227"/>
      </top>
      <bottom style="double">
        <color rgb="0B2545"/>
      </bottom>
      <diagonal/>
    </border>
    <border>
      <left/>
      <right style="thin">
        <color rgb="CCCCCC"/>
      </right>
      <top style="thin">
        <color rgb="0B2545"/>
      </top>
      <bottom/>
      <diagonal/>
    </border>
    <border>
      <left/>
      <right style="thin">
        <color rgb="CCCCCC"/>
      </right>
      <top style="thin">
        <color rgb="1E7B4D"/>
      </top>
      <bottom/>
      <diagonal/>
    </border>
    <border>
      <left/>
      <right style="thin">
        <color rgb="CCCCCC"/>
      </right>
      <top style="thin">
        <color rgb="B23A2E"/>
      </top>
      <bottom/>
      <diagonal/>
    </border>
    <border>
      <left/>
      <right style="thin">
        <color rgb="CCCCCC"/>
      </right>
      <top/>
      <bottom/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 style="thin">
        <color rgb="CCCCCC"/>
      </right>
      <top style="thin">
        <color rgb="2E6F95"/>
      </top>
      <bottom/>
      <diagonal/>
    </border>
    <border>
      <left/>
      <right style="thin">
        <color rgb="CCCCCC"/>
      </right>
      <top style="thin">
        <color rgb="D98E0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5" borderId="2" xfId="0" applyFont="1" applyFill="1" applyBorder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2" borderId="3" xfId="0" applyFill="1" applyBorder="1"/>
    <xf numFmtId="0" fontId="0" fillId="6" borderId="4" xfId="0" applyFill="1" applyBorder="1"/>
    <xf numFmtId="0" fontId="0" fillId="7" borderId="5" xfId="0" applyFill="1" applyBorder="1"/>
    <xf numFmtId="0" fontId="8" fillId="4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0" fillId="9" borderId="8" xfId="0" applyFill="1" applyBorder="1"/>
    <xf numFmtId="0" fontId="0" fillId="10" borderId="9" xfId="0" applyFill="1" applyBorder="1"/>
    <xf numFmtId="0" fontId="10" fillId="5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/>
  </sheetViews>
  <sheetFormatPr defaultRowHeight="15" outlineLevelRow="0" outlineLevelCol="0" x14ac:dyDescent="55"/>
  <cols>
    <col min="1" max="1" width="6" customWidth="1"/>
    <col min="2" max="2" width="16" customWidth="1"/>
    <col min="3" max="3" width="24" customWidth="1"/>
    <col min="4" max="4" width="10" customWidth="1"/>
    <col min="5" max="6" width="16" customWidth="1"/>
    <col min="7" max="7" width="12" customWidth="1"/>
    <col min="8" max="9" width="14" customWidth="1"/>
    <col min="10" max="10" width="16" customWidth="1"/>
    <col min="11" max="11" width="14" customWidth="1"/>
    <col min="12" max="12" width="12" customWidth="1"/>
    <col min="13" max="13" width="22" customWidth="1"/>
    <col min="14" max="14" width="14" customWidth="1"/>
    <col min="16" max="16" width="9" hidden="1" customWidth="1"/>
    <col min="17" max="17" width="9" hidden="1" customWidth="1"/>
    <col min="18" max="18" width="9" hidden="1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t="s">
        <v>1</v>
      </c>
      <c r="Q1" t="s">
        <v>2</v>
      </c>
    </row>
    <row r="2" spans="1:17" x14ac:dyDescent="0.25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t="s">
        <v>4</v>
      </c>
      <c r="Q2">
        <f>E26</f>
      </c>
    </row>
    <row r="3" ht="36" customHeight="1" spans="1:17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P3" t="s">
        <v>19</v>
      </c>
      <c r="Q3">
        <f>F26</f>
      </c>
    </row>
    <row r="4" spans="1:17" x14ac:dyDescent="0.25">
      <c r="A4" s="4">
        <v>1</v>
      </c>
      <c r="B4" s="5" t="s">
        <v>20</v>
      </c>
      <c r="C4" s="5" t="s">
        <v>21</v>
      </c>
      <c r="D4" s="4">
        <v>29</v>
      </c>
      <c r="E4" s="6">
        <v>3570.5100000000007</v>
      </c>
      <c r="F4" s="6">
        <v>1528.85</v>
      </c>
      <c r="G4" s="4">
        <f>F4/E4</f>
      </c>
      <c r="H4" s="4">
        <f>402.8/E4</f>
      </c>
      <c r="I4" s="4">
        <f>(F4/E4 - H4)*100</f>
      </c>
      <c r="J4" s="6">
        <f>E4-F4</f>
      </c>
      <c r="K4" s="4">
        <f>IF(G4&gt;=0.95,"Excellent",IF(G4&gt;=0.85,"Good",IF(G4&gt;=0.70,"Watch","Critical")))</f>
      </c>
      <c r="L4" s="4">
        <f>RANK(G4,$G$4:$G$25,0)</f>
      </c>
      <c r="M4" s="5" t="s">
        <v>22</v>
      </c>
      <c r="N4" s="5" t="s">
        <v>23</v>
      </c>
      <c r="P4" t="s">
        <v>24</v>
      </c>
      <c r="Q4">
        <f>G26</f>
      </c>
    </row>
    <row r="5" spans="1:17" x14ac:dyDescent="0.25">
      <c r="A5" s="7">
        <v>2</v>
      </c>
      <c r="B5" s="8" t="s">
        <v>20</v>
      </c>
      <c r="C5" s="8" t="s">
        <v>25</v>
      </c>
      <c r="D5" s="7">
        <v>36</v>
      </c>
      <c r="E5" s="9">
        <v>3830.8399999999992</v>
      </c>
      <c r="F5" s="9">
        <v>1552.5699999999997</v>
      </c>
      <c r="G5" s="7">
        <f>F5/E5</f>
      </c>
      <c r="H5" s="7">
        <f>556.8900000000001/E5</f>
      </c>
      <c r="I5" s="7">
        <f>(F5/E5 - H5)*100</f>
      </c>
      <c r="J5" s="9">
        <f>E5-F5</f>
      </c>
      <c r="K5" s="7">
        <f>IF(G5&gt;=0.95,"Excellent",IF(G5&gt;=0.85,"Good",IF(G5&gt;=0.70,"Watch","Critical")))</f>
      </c>
      <c r="L5" s="7">
        <f>RANK(G5,$G$4:$G$25,0)</f>
      </c>
      <c r="M5" s="8" t="s">
        <v>26</v>
      </c>
      <c r="N5" s="8" t="s">
        <v>27</v>
      </c>
      <c r="P5" t="s">
        <v>28</v>
      </c>
      <c r="Q5">
        <f>J26</f>
      </c>
    </row>
    <row r="6" spans="1:17" x14ac:dyDescent="0.25">
      <c r="A6" s="4">
        <v>3</v>
      </c>
      <c r="B6" s="5" t="s">
        <v>20</v>
      </c>
      <c r="C6" s="5" t="s">
        <v>29</v>
      </c>
      <c r="D6" s="4">
        <v>38</v>
      </c>
      <c r="E6" s="6">
        <v>4000.3199999999993</v>
      </c>
      <c r="F6" s="6">
        <v>1126.12</v>
      </c>
      <c r="G6" s="4">
        <f>F6/E6</f>
      </c>
      <c r="H6" s="4">
        <f>603.7500000000001/E6</f>
      </c>
      <c r="I6" s="4">
        <f>(F6/E6 - H6)*100</f>
      </c>
      <c r="J6" s="6">
        <f>E6-F6</f>
      </c>
      <c r="K6" s="4">
        <f>IF(G6&gt;=0.95,"Excellent",IF(G6&gt;=0.85,"Good",IF(G6&gt;=0.70,"Watch","Critical")))</f>
      </c>
      <c r="L6" s="4">
        <f>RANK(G6,$G$4:$G$25,0)</f>
      </c>
      <c r="M6" s="5" t="s">
        <v>30</v>
      </c>
      <c r="N6" s="5" t="s">
        <v>31</v>
      </c>
      <c r="P6" t="s">
        <v>32</v>
      </c>
      <c r="Q6">
        <f>H26</f>
      </c>
    </row>
    <row r="7" spans="1:17" x14ac:dyDescent="0.25">
      <c r="A7" s="7">
        <v>4</v>
      </c>
      <c r="B7" s="8" t="s">
        <v>33</v>
      </c>
      <c r="C7" s="8" t="s">
        <v>34</v>
      </c>
      <c r="D7" s="7">
        <v>24</v>
      </c>
      <c r="E7" s="9">
        <v>3060.3300000000004</v>
      </c>
      <c r="F7" s="9">
        <v>1299.97</v>
      </c>
      <c r="G7" s="7">
        <f>F7/E7</f>
      </c>
      <c r="H7" s="7">
        <f>833.68/E7</f>
      </c>
      <c r="I7" s="7">
        <f>(F7/E7 - H7)*100</f>
      </c>
      <c r="J7" s="9">
        <f>E7-F7</f>
      </c>
      <c r="K7" s="7">
        <f>IF(G7&gt;=0.95,"Excellent",IF(G7&gt;=0.85,"Good",IF(G7&gt;=0.70,"Watch","Critical")))</f>
      </c>
      <c r="L7" s="7">
        <f>RANK(G7,$G$4:$G$25,0)</f>
      </c>
      <c r="M7" s="8" t="s">
        <v>35</v>
      </c>
      <c r="N7" s="8" t="s">
        <v>36</v>
      </c>
      <c r="P7" t="s">
        <v>37</v>
      </c>
      <c r="Q7">
        <f>COUNTIF(K4:K25,"Critical")</f>
      </c>
    </row>
    <row r="8" spans="1:17" x14ac:dyDescent="0.25">
      <c r="A8" s="4">
        <v>5</v>
      </c>
      <c r="B8" s="5" t="s">
        <v>33</v>
      </c>
      <c r="C8" s="5" t="s">
        <v>38</v>
      </c>
      <c r="D8" s="4">
        <v>33</v>
      </c>
      <c r="E8" s="6">
        <v>3051.270000000001</v>
      </c>
      <c r="F8" s="6">
        <v>1417.7699999999995</v>
      </c>
      <c r="G8" s="4">
        <f>F8/E8</f>
      </c>
      <c r="H8" s="4">
        <f>280.95000000000005/E8</f>
      </c>
      <c r="I8" s="4">
        <f>(F8/E8 - H8)*100</f>
      </c>
      <c r="J8" s="6">
        <f>E8-F8</f>
      </c>
      <c r="K8" s="4">
        <f>IF(G8&gt;=0.95,"Excellent",IF(G8&gt;=0.85,"Good",IF(G8&gt;=0.70,"Watch","Critical")))</f>
      </c>
      <c r="L8" s="4">
        <f>RANK(G8,$G$4:$G$25,0)</f>
      </c>
      <c r="M8" s="5" t="s">
        <v>39</v>
      </c>
      <c r="N8" s="5" t="s">
        <v>40</v>
      </c>
      <c r="P8" t="s">
        <v>41</v>
      </c>
      <c r="Q8">
        <f>COUNTIF(K4:K25,"Watch")</f>
      </c>
    </row>
    <row r="9" spans="1:17" x14ac:dyDescent="0.25">
      <c r="A9" s="7">
        <v>6</v>
      </c>
      <c r="B9" s="8" t="s">
        <v>42</v>
      </c>
      <c r="C9" s="8" t="s">
        <v>43</v>
      </c>
      <c r="D9" s="7">
        <v>17</v>
      </c>
      <c r="E9" s="9">
        <v>2516.99</v>
      </c>
      <c r="F9" s="9">
        <v>840.44</v>
      </c>
      <c r="G9" s="7">
        <f>F9/E9</f>
      </c>
      <c r="H9" s="7">
        <f>549.1800000000001/E9</f>
      </c>
      <c r="I9" s="7">
        <f>(F9/E9 - H9)*100</f>
      </c>
      <c r="J9" s="9">
        <f>E9-F9</f>
      </c>
      <c r="K9" s="7">
        <f>IF(G9&gt;=0.95,"Excellent",IF(G9&gt;=0.85,"Good",IF(G9&gt;=0.70,"Watch","Critical")))</f>
      </c>
      <c r="L9" s="7">
        <f>RANK(G9,$G$4:$G$25,0)</f>
      </c>
      <c r="M9" s="8" t="s">
        <v>44</v>
      </c>
      <c r="N9" s="8" t="s">
        <v>45</v>
      </c>
      <c r="P9" t="s">
        <v>46</v>
      </c>
      <c r="Q9">
        <f>COUNTIF(K4:K25,"Excellent")</f>
      </c>
    </row>
    <row r="10" spans="1:14" x14ac:dyDescent="0.25">
      <c r="A10" s="4">
        <v>7</v>
      </c>
      <c r="B10" s="5" t="s">
        <v>42</v>
      </c>
      <c r="C10" s="5" t="s">
        <v>47</v>
      </c>
      <c r="D10" s="4">
        <v>25</v>
      </c>
      <c r="E10" s="6">
        <v>2846.82</v>
      </c>
      <c r="F10" s="6">
        <v>1634.7600000000004</v>
      </c>
      <c r="G10" s="4">
        <f>F10/E10</f>
      </c>
      <c r="H10" s="4">
        <f>944.89/E10</f>
      </c>
      <c r="I10" s="4">
        <f>(F10/E10 - H10)*100</f>
      </c>
      <c r="J10" s="6">
        <f>E10-F10</f>
      </c>
      <c r="K10" s="4">
        <f>IF(G10&gt;=0.95,"Excellent",IF(G10&gt;=0.85,"Good",IF(G10&gt;=0.70,"Watch","Critical")))</f>
      </c>
      <c r="L10" s="4">
        <f>RANK(G10,$G$4:$G$25,0)</f>
      </c>
      <c r="M10" s="5" t="s">
        <v>48</v>
      </c>
      <c r="N10" s="5" t="s">
        <v>49</v>
      </c>
    </row>
    <row r="11" spans="1:14" x14ac:dyDescent="0.25">
      <c r="A11" s="7">
        <v>8</v>
      </c>
      <c r="B11" s="8" t="s">
        <v>42</v>
      </c>
      <c r="C11" s="8" t="s">
        <v>50</v>
      </c>
      <c r="D11" s="7">
        <v>26</v>
      </c>
      <c r="E11" s="9">
        <v>3200.6599999999994</v>
      </c>
      <c r="F11" s="9">
        <v>2103.8499999999995</v>
      </c>
      <c r="G11" s="7">
        <f>F11/E11</f>
      </c>
      <c r="H11" s="7">
        <f>1149.6300000000003/E11</f>
      </c>
      <c r="I11" s="7">
        <f>(F11/E11 - H11)*100</f>
      </c>
      <c r="J11" s="9">
        <f>E11-F11</f>
      </c>
      <c r="K11" s="7">
        <f>IF(G11&gt;=0.95,"Excellent",IF(G11&gt;=0.85,"Good",IF(G11&gt;=0.70,"Watch","Critical")))</f>
      </c>
      <c r="L11" s="7">
        <f>RANK(G11,$G$4:$G$25,0)</f>
      </c>
      <c r="M11" s="8" t="s">
        <v>51</v>
      </c>
      <c r="N11" s="8" t="s">
        <v>52</v>
      </c>
    </row>
    <row r="12" spans="1:14" x14ac:dyDescent="0.25">
      <c r="A12" s="4">
        <v>9</v>
      </c>
      <c r="B12" s="5" t="s">
        <v>53</v>
      </c>
      <c r="C12" s="5" t="s">
        <v>54</v>
      </c>
      <c r="D12" s="4">
        <v>29</v>
      </c>
      <c r="E12" s="6">
        <v>2936.4000000000015</v>
      </c>
      <c r="F12" s="6">
        <v>1072.2899999999997</v>
      </c>
      <c r="G12" s="4">
        <f>F12/E12</f>
      </c>
      <c r="H12" s="4">
        <f>866.5699999999999/E12</f>
      </c>
      <c r="I12" s="4">
        <f>(F12/E12 - H12)*100</f>
      </c>
      <c r="J12" s="6">
        <f>E12-F12</f>
      </c>
      <c r="K12" s="4">
        <f>IF(G12&gt;=0.95,"Excellent",IF(G12&gt;=0.85,"Good",IF(G12&gt;=0.70,"Watch","Critical")))</f>
      </c>
      <c r="L12" s="4">
        <f>RANK(G12,$G$4:$G$25,0)</f>
      </c>
      <c r="M12" s="5" t="s">
        <v>55</v>
      </c>
      <c r="N12" s="5" t="s">
        <v>56</v>
      </c>
    </row>
    <row r="13" spans="1:14" x14ac:dyDescent="0.25">
      <c r="A13" s="7">
        <v>10</v>
      </c>
      <c r="B13" s="8" t="s">
        <v>57</v>
      </c>
      <c r="C13" s="8" t="s">
        <v>58</v>
      </c>
      <c r="D13" s="7">
        <v>25</v>
      </c>
      <c r="E13" s="9">
        <v>2954.569999999999</v>
      </c>
      <c r="F13" s="9">
        <v>1118.09</v>
      </c>
      <c r="G13" s="7">
        <f>F13/E13</f>
      </c>
      <c r="H13" s="7">
        <f>877.3599999999999/E13</f>
      </c>
      <c r="I13" s="7">
        <f>(F13/E13 - H13)*100</f>
      </c>
      <c r="J13" s="9">
        <f>E13-F13</f>
      </c>
      <c r="K13" s="7">
        <f>IF(G13&gt;=0.95,"Excellent",IF(G13&gt;=0.85,"Good",IF(G13&gt;=0.70,"Watch","Critical")))</f>
      </c>
      <c r="L13" s="7">
        <f>RANK(G13,$G$4:$G$25,0)</f>
      </c>
      <c r="M13" s="8" t="s">
        <v>59</v>
      </c>
      <c r="N13" s="8" t="s">
        <v>60</v>
      </c>
    </row>
    <row r="14" spans="1:14" x14ac:dyDescent="0.25">
      <c r="A14" s="4">
        <v>11</v>
      </c>
      <c r="B14" s="5" t="s">
        <v>57</v>
      </c>
      <c r="C14" s="5" t="s">
        <v>61</v>
      </c>
      <c r="D14" s="4">
        <v>22</v>
      </c>
      <c r="E14" s="6">
        <v>3059.3699999999994</v>
      </c>
      <c r="F14" s="6">
        <v>954.6100000000001</v>
      </c>
      <c r="G14" s="4">
        <f>F14/E14</f>
      </c>
      <c r="H14" s="4">
        <f>954.6100000000001/E14</f>
      </c>
      <c r="I14" s="4">
        <f>(F14/E14 - H14)*100</f>
      </c>
      <c r="J14" s="6">
        <f>E14-F14</f>
      </c>
      <c r="K14" s="4">
        <f>IF(G14&gt;=0.95,"Excellent",IF(G14&gt;=0.85,"Good",IF(G14&gt;=0.70,"Watch","Critical")))</f>
      </c>
      <c r="L14" s="4">
        <f>RANK(G14,$G$4:$G$25,0)</f>
      </c>
      <c r="M14" s="5" t="s">
        <v>26</v>
      </c>
      <c r="N14" s="5" t="s">
        <v>27</v>
      </c>
    </row>
    <row r="15" spans="1:14" x14ac:dyDescent="0.25">
      <c r="A15" s="7">
        <v>12</v>
      </c>
      <c r="B15" s="8" t="s">
        <v>62</v>
      </c>
      <c r="C15" s="8" t="s">
        <v>63</v>
      </c>
      <c r="D15" s="7">
        <v>29</v>
      </c>
      <c r="E15" s="9">
        <v>3254.4</v>
      </c>
      <c r="F15" s="9">
        <v>2169.88</v>
      </c>
      <c r="G15" s="7">
        <f>F15/E15</f>
      </c>
      <c r="H15" s="7">
        <f>1419.2599999999995/E15</f>
      </c>
      <c r="I15" s="7">
        <f>(F15/E15 - H15)*100</f>
      </c>
      <c r="J15" s="9">
        <f>E15-F15</f>
      </c>
      <c r="K15" s="7">
        <f>IF(G15&gt;=0.95,"Excellent",IF(G15&gt;=0.85,"Good",IF(G15&gt;=0.70,"Watch","Critical")))</f>
      </c>
      <c r="L15" s="7">
        <f>RANK(G15,$G$4:$G$25,0)</f>
      </c>
      <c r="M15" s="8" t="s">
        <v>64</v>
      </c>
      <c r="N15" s="8" t="s">
        <v>65</v>
      </c>
    </row>
    <row r="16" spans="1:14" x14ac:dyDescent="0.25">
      <c r="A16" s="4">
        <v>13</v>
      </c>
      <c r="B16" s="5" t="s">
        <v>62</v>
      </c>
      <c r="C16" s="5" t="s">
        <v>66</v>
      </c>
      <c r="D16" s="4">
        <v>26</v>
      </c>
      <c r="E16" s="6">
        <v>3002.4999999999995</v>
      </c>
      <c r="F16" s="6">
        <v>1946.7400000000002</v>
      </c>
      <c r="G16" s="4">
        <f>F16/E16</f>
      </c>
      <c r="H16" s="4">
        <f>1798.65/E16</f>
      </c>
      <c r="I16" s="4">
        <f>(F16/E16 - H16)*100</f>
      </c>
      <c r="J16" s="6">
        <f>E16-F16</f>
      </c>
      <c r="K16" s="4">
        <f>IF(G16&gt;=0.95,"Excellent",IF(G16&gt;=0.85,"Good",IF(G16&gt;=0.70,"Watch","Critical")))</f>
      </c>
      <c r="L16" s="4">
        <f>RANK(G16,$G$4:$G$25,0)</f>
      </c>
      <c r="M16" s="5" t="s">
        <v>67</v>
      </c>
      <c r="N16" s="5" t="s">
        <v>68</v>
      </c>
    </row>
    <row r="17" spans="1:14" x14ac:dyDescent="0.25">
      <c r="A17" s="7">
        <v>14</v>
      </c>
      <c r="B17" s="8" t="s">
        <v>69</v>
      </c>
      <c r="C17" s="8" t="s">
        <v>70</v>
      </c>
      <c r="D17" s="7">
        <v>30</v>
      </c>
      <c r="E17" s="9">
        <v>2964.3800000000015</v>
      </c>
      <c r="F17" s="9">
        <v>918.9399999999999</v>
      </c>
      <c r="G17" s="7">
        <f>F17/E17</f>
      </c>
      <c r="H17" s="7">
        <f>571.46/E17</f>
      </c>
      <c r="I17" s="7">
        <f>(F17/E17 - H17)*100</f>
      </c>
      <c r="J17" s="9">
        <f>E17-F17</f>
      </c>
      <c r="K17" s="7">
        <f>IF(G17&gt;=0.95,"Excellent",IF(G17&gt;=0.85,"Good",IF(G17&gt;=0.70,"Watch","Critical")))</f>
      </c>
      <c r="L17" s="7">
        <f>RANK(G17,$G$4:$G$25,0)</f>
      </c>
      <c r="M17" s="8" t="s">
        <v>71</v>
      </c>
      <c r="N17" s="8" t="s">
        <v>72</v>
      </c>
    </row>
    <row r="18" spans="1:14" x14ac:dyDescent="0.25">
      <c r="A18" s="4">
        <v>15</v>
      </c>
      <c r="B18" s="5" t="s">
        <v>69</v>
      </c>
      <c r="C18" s="5" t="s">
        <v>73</v>
      </c>
      <c r="D18" s="4">
        <v>25</v>
      </c>
      <c r="E18" s="6">
        <v>2781.3099999999995</v>
      </c>
      <c r="F18" s="6">
        <v>1130.21</v>
      </c>
      <c r="G18" s="4">
        <f>F18/E18</f>
      </c>
      <c r="H18" s="4">
        <f>227.79/E18</f>
      </c>
      <c r="I18" s="4">
        <f>(F18/E18 - H18)*100</f>
      </c>
      <c r="J18" s="6">
        <f>E18-F18</f>
      </c>
      <c r="K18" s="4">
        <f>IF(G18&gt;=0.95,"Excellent",IF(G18&gt;=0.85,"Good",IF(G18&gt;=0.70,"Watch","Critical")))</f>
      </c>
      <c r="L18" s="4">
        <f>RANK(G18,$G$4:$G$25,0)</f>
      </c>
      <c r="M18" s="5" t="s">
        <v>74</v>
      </c>
      <c r="N18" s="5" t="s">
        <v>75</v>
      </c>
    </row>
    <row r="19" spans="1:14" x14ac:dyDescent="0.25">
      <c r="A19" s="7">
        <v>16</v>
      </c>
      <c r="B19" s="8" t="s">
        <v>76</v>
      </c>
      <c r="C19" s="8" t="s">
        <v>77</v>
      </c>
      <c r="D19" s="7">
        <v>39</v>
      </c>
      <c r="E19" s="9">
        <v>3359.000000000001</v>
      </c>
      <c r="F19" s="9">
        <v>885.3</v>
      </c>
      <c r="G19" s="7">
        <f>F19/E19</f>
      </c>
      <c r="H19" s="7">
        <f>168.51999999999998/E19</f>
      </c>
      <c r="I19" s="7">
        <f>(F19/E19 - H19)*100</f>
      </c>
      <c r="J19" s="9">
        <f>E19-F19</f>
      </c>
      <c r="K19" s="7">
        <f>IF(G19&gt;=0.95,"Excellent",IF(G19&gt;=0.85,"Good",IF(G19&gt;=0.70,"Watch","Critical")))</f>
      </c>
      <c r="L19" s="7">
        <f>RANK(G19,$G$4:$G$25,0)</f>
      </c>
      <c r="M19" s="8" t="s">
        <v>78</v>
      </c>
      <c r="N19" s="8" t="s">
        <v>79</v>
      </c>
    </row>
    <row r="20" spans="1:14" x14ac:dyDescent="0.25">
      <c r="A20" s="4">
        <v>17</v>
      </c>
      <c r="B20" s="5" t="s">
        <v>76</v>
      </c>
      <c r="C20" s="5" t="s">
        <v>80</v>
      </c>
      <c r="D20" s="4">
        <v>31</v>
      </c>
      <c r="E20" s="6">
        <v>3119.759999999998</v>
      </c>
      <c r="F20" s="6">
        <v>817.84</v>
      </c>
      <c r="G20" s="4">
        <f>F20/E20</f>
      </c>
      <c r="H20" s="4">
        <f>196.45/E20</f>
      </c>
      <c r="I20" s="4">
        <f>(F20/E20 - H20)*100</f>
      </c>
      <c r="J20" s="6">
        <f>E20-F20</f>
      </c>
      <c r="K20" s="4">
        <f>IF(G20&gt;=0.95,"Excellent",IF(G20&gt;=0.85,"Good",IF(G20&gt;=0.70,"Watch","Critical")))</f>
      </c>
      <c r="L20" s="4">
        <f>RANK(G20,$G$4:$G$25,0)</f>
      </c>
      <c r="M20" s="5" t="s">
        <v>81</v>
      </c>
      <c r="N20" s="5" t="s">
        <v>82</v>
      </c>
    </row>
    <row r="21" spans="1:14" x14ac:dyDescent="0.25">
      <c r="A21" s="7">
        <v>18</v>
      </c>
      <c r="B21" s="8" t="s">
        <v>83</v>
      </c>
      <c r="C21" s="8" t="s">
        <v>84</v>
      </c>
      <c r="D21" s="7">
        <v>37</v>
      </c>
      <c r="E21" s="9">
        <v>3693.010000000001</v>
      </c>
      <c r="F21" s="9">
        <v>962.7</v>
      </c>
      <c r="G21" s="7">
        <f>F21/E21</f>
      </c>
      <c r="H21" s="7">
        <f>304.8/E21</f>
      </c>
      <c r="I21" s="7">
        <f>(F21/E21 - H21)*100</f>
      </c>
      <c r="J21" s="9">
        <f>E21-F21</f>
      </c>
      <c r="K21" s="7">
        <f>IF(G21&gt;=0.95,"Excellent",IF(G21&gt;=0.85,"Good",IF(G21&gt;=0.70,"Watch","Critical")))</f>
      </c>
      <c r="L21" s="7">
        <f>RANK(G21,$G$4:$G$25,0)</f>
      </c>
      <c r="M21" s="8" t="s">
        <v>85</v>
      </c>
      <c r="N21" s="8" t="s">
        <v>86</v>
      </c>
    </row>
    <row r="22" spans="1:14" x14ac:dyDescent="0.25">
      <c r="A22" s="4">
        <v>19</v>
      </c>
      <c r="B22" s="5" t="s">
        <v>83</v>
      </c>
      <c r="C22" s="5" t="s">
        <v>87</v>
      </c>
      <c r="D22" s="4">
        <v>39</v>
      </c>
      <c r="E22" s="6">
        <v>3656.2699999999995</v>
      </c>
      <c r="F22" s="6">
        <v>735.71</v>
      </c>
      <c r="G22" s="4">
        <f>F22/E22</f>
      </c>
      <c r="H22" s="4">
        <f>90.4/E22</f>
      </c>
      <c r="I22" s="4">
        <f>(F22/E22 - H22)*100</f>
      </c>
      <c r="J22" s="6">
        <f>E22-F22</f>
      </c>
      <c r="K22" s="4">
        <f>IF(G22&gt;=0.95,"Excellent",IF(G22&gt;=0.85,"Good",IF(G22&gt;=0.70,"Watch","Critical")))</f>
      </c>
      <c r="L22" s="4">
        <f>RANK(G22,$G$4:$G$25,0)</f>
      </c>
      <c r="M22" s="5" t="s">
        <v>88</v>
      </c>
      <c r="N22" s="5" t="s">
        <v>89</v>
      </c>
    </row>
    <row r="23" spans="1:14" x14ac:dyDescent="0.25">
      <c r="A23" s="7">
        <v>20</v>
      </c>
      <c r="B23" s="8" t="s">
        <v>90</v>
      </c>
      <c r="C23" s="8" t="s">
        <v>91</v>
      </c>
      <c r="D23" s="7">
        <v>37</v>
      </c>
      <c r="E23" s="9">
        <v>4274.469999999998</v>
      </c>
      <c r="F23" s="9">
        <v>696.9700000000001</v>
      </c>
      <c r="G23" s="7">
        <f>F23/E23</f>
      </c>
      <c r="H23" s="7">
        <f>115.57/E23</f>
      </c>
      <c r="I23" s="7">
        <f>(F23/E23 - H23)*100</f>
      </c>
      <c r="J23" s="9">
        <f>E23-F23</f>
      </c>
      <c r="K23" s="7">
        <f>IF(G23&gt;=0.95,"Excellent",IF(G23&gt;=0.85,"Good",IF(G23&gt;=0.70,"Watch","Critical")))</f>
      </c>
      <c r="L23" s="7">
        <f>RANK(G23,$G$4:$G$25,0)</f>
      </c>
      <c r="M23" s="8" t="s">
        <v>92</v>
      </c>
      <c r="N23" s="8" t="s">
        <v>93</v>
      </c>
    </row>
    <row r="24" spans="1:14" x14ac:dyDescent="0.25">
      <c r="A24" s="4">
        <v>21</v>
      </c>
      <c r="B24" s="5" t="s">
        <v>90</v>
      </c>
      <c r="C24" s="5" t="s">
        <v>94</v>
      </c>
      <c r="D24" s="4">
        <v>38</v>
      </c>
      <c r="E24" s="6">
        <v>3969.740000000001</v>
      </c>
      <c r="F24" s="6">
        <v>968.54</v>
      </c>
      <c r="G24" s="4">
        <f>F24/E24</f>
      </c>
      <c r="H24" s="4">
        <f>335.59000000000003/E24</f>
      </c>
      <c r="I24" s="4">
        <f>(F24/E24 - H24)*100</f>
      </c>
      <c r="J24" s="6">
        <f>E24-F24</f>
      </c>
      <c r="K24" s="4">
        <f>IF(G24&gt;=0.95,"Excellent",IF(G24&gt;=0.85,"Good",IF(G24&gt;=0.70,"Watch","Critical")))</f>
      </c>
      <c r="L24" s="4">
        <f>RANK(G24,$G$4:$G$25,0)</f>
      </c>
      <c r="M24" s="5" t="s">
        <v>95</v>
      </c>
      <c r="N24" s="5" t="s">
        <v>96</v>
      </c>
    </row>
    <row r="25" spans="1:14" x14ac:dyDescent="0.25">
      <c r="A25" s="7">
        <v>22</v>
      </c>
      <c r="B25" s="8" t="s">
        <v>57</v>
      </c>
      <c r="C25" s="8" t="s">
        <v>97</v>
      </c>
      <c r="D25" s="7">
        <v>27</v>
      </c>
      <c r="E25" s="9">
        <v>2883.4300000000003</v>
      </c>
      <c r="F25" s="9">
        <v>979.4300000000002</v>
      </c>
      <c r="G25" s="7">
        <f>F25/E25</f>
      </c>
      <c r="H25" s="7">
        <f>979.4300000000002/E25</f>
      </c>
      <c r="I25" s="7">
        <f>(F25/E25 - H25)*100</f>
      </c>
      <c r="J25" s="9">
        <f>E25-F25</f>
      </c>
      <c r="K25" s="7">
        <f>IF(G25&gt;=0.95,"Excellent",IF(G25&gt;=0.85,"Good",IF(G25&gt;=0.70,"Watch","Critical")))</f>
      </c>
      <c r="L25" s="7">
        <f>RANK(G25,$G$4:$G$25,0)</f>
      </c>
      <c r="M25" s="8" t="s">
        <v>98</v>
      </c>
      <c r="N25" s="8" t="s">
        <v>99</v>
      </c>
    </row>
    <row r="26" spans="1:12" x14ac:dyDescent="0.25">
      <c r="A26" s="10" t="s">
        <v>100</v>
      </c>
      <c r="B26" s="10" t="s">
        <v>101</v>
      </c>
      <c r="C26" s="10"/>
      <c r="D26" s="10"/>
      <c r="E26" s="10">
        <f>SUM(E4:E25)</f>
      </c>
      <c r="F26" s="10">
        <f>SUM(F4:F25)</f>
      </c>
      <c r="G26" s="10">
        <f>F26/E26</f>
      </c>
      <c r="H26" s="10">
        <f>SUMPRODUCT(E4:E25,H4:H25)/E26</f>
      </c>
      <c r="I26" s="10">
        <f>(G26-H26)*100</f>
      </c>
      <c r="J26" s="10">
        <f>E26-F26</f>
      </c>
      <c r="K26" s="10" t="s">
        <v>102</v>
      </c>
      <c r="L26" s="10" t="s">
        <v>103</v>
      </c>
    </row>
  </sheetData>
  <mergeCells count="3">
    <mergeCell ref="A1:N1"/>
    <mergeCell ref="A2:N2"/>
    <mergeCell ref="B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 outlineLevelRow="0" outlineLevelCol="0" x14ac:dyDescent="55"/>
  <cols>
    <col min="1" max="8" width="18" customWidth="1"/>
  </cols>
  <sheetData>
    <row r="1" spans="1:8" x14ac:dyDescent="0.25">
      <c r="A1" s="11" t="s">
        <v>104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105</v>
      </c>
      <c r="B2" s="12"/>
      <c r="C2" s="12"/>
      <c r="D2" s="12"/>
      <c r="E2" s="12"/>
      <c r="F2" s="12"/>
      <c r="G2" s="12"/>
      <c r="H2" s="12"/>
    </row>
    <row r="4" spans="1:8" x14ac:dyDescent="0.25">
      <c r="A4" s="13"/>
      <c r="B4" s="13"/>
      <c r="C4" s="14"/>
      <c r="D4" s="14"/>
      <c r="E4" s="13"/>
      <c r="F4" s="13"/>
      <c r="G4" s="15"/>
      <c r="H4" s="15"/>
    </row>
    <row r="5" spans="1:8" x14ac:dyDescent="0.25">
      <c r="A5" s="16" t="s">
        <v>106</v>
      </c>
      <c r="B5" s="16"/>
      <c r="C5" s="16" t="s">
        <v>107</v>
      </c>
      <c r="D5" s="16"/>
      <c r="E5" s="16" t="s">
        <v>108</v>
      </c>
      <c r="F5" s="16"/>
      <c r="G5" s="16" t="s">
        <v>109</v>
      </c>
      <c r="H5" s="16"/>
    </row>
    <row r="6" spans="1:8" x14ac:dyDescent="0.25">
      <c r="A6" s="17">
        <f>='Sector Detail'!Q2</f>
      </c>
      <c r="B6" s="17"/>
      <c r="C6" s="17">
        <f>='Sector Detail'!Q3</f>
      </c>
      <c r="D6" s="17"/>
      <c r="E6" s="17">
        <f>='Sector Detail'!Q4</f>
      </c>
      <c r="F6" s="17"/>
      <c r="G6" s="17">
        <f>='Sector Detail'!Q5</f>
      </c>
      <c r="H6" s="17"/>
    </row>
    <row r="8" spans="1:8" x14ac:dyDescent="0.25">
      <c r="A8" s="18"/>
      <c r="B8" s="18"/>
      <c r="C8" s="15"/>
      <c r="D8" s="15"/>
      <c r="E8" s="19"/>
      <c r="F8" s="19"/>
      <c r="G8" s="14"/>
      <c r="H8" s="14"/>
    </row>
    <row r="9" spans="1:8" x14ac:dyDescent="0.25">
      <c r="A9" s="16" t="s">
        <v>110</v>
      </c>
      <c r="B9" s="16"/>
      <c r="C9" s="16" t="s">
        <v>111</v>
      </c>
      <c r="D9" s="16"/>
      <c r="E9" s="16" t="s">
        <v>112</v>
      </c>
      <c r="F9" s="16"/>
      <c r="G9" s="16" t="s">
        <v>113</v>
      </c>
      <c r="H9" s="16"/>
    </row>
    <row r="10" spans="1:8" x14ac:dyDescent="0.25">
      <c r="A10" s="17">
        <f>='Sector Detail'!Q6</f>
      </c>
      <c r="B10" s="17"/>
      <c r="C10" s="17">
        <f>='Sector Detail'!Q7</f>
      </c>
      <c r="D10" s="17"/>
      <c r="E10" s="17">
        <f>='Sector Detail'!Q8</f>
      </c>
      <c r="F10" s="17"/>
      <c r="G10" s="17">
        <f>='Sector Detail'!Q9</f>
      </c>
      <c r="H10" s="17"/>
    </row>
  </sheetData>
  <mergeCells count="26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 outlineLevelRow="0" outlineLevelCol="0" x14ac:dyDescent="55"/>
  <cols>
    <col min="1" max="1" width="6" customWidth="1"/>
    <col min="2" max="2" width="20" customWidth="1"/>
    <col min="3" max="3" width="14" customWidth="1"/>
    <col min="4" max="5" width="18" customWidth="1"/>
    <col min="6" max="6" width="14" customWidth="1"/>
    <col min="7" max="7" width="18" customWidth="1"/>
    <col min="8" max="8" width="14" customWidth="1"/>
  </cols>
  <sheetData>
    <row r="1" spans="1:8" x14ac:dyDescent="0.25">
      <c r="A1" s="1" t="s">
        <v>114</v>
      </c>
      <c r="B1" s="1"/>
      <c r="C1" s="1"/>
      <c r="D1" s="1"/>
      <c r="E1" s="1"/>
      <c r="F1" s="1"/>
      <c r="G1" s="1"/>
      <c r="H1" s="1"/>
    </row>
    <row r="3" ht="32" customHeight="1" spans="1:8" x14ac:dyDescent="0.25">
      <c r="A3" s="3" t="s">
        <v>5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</v>
      </c>
      <c r="G3" s="3" t="s">
        <v>14</v>
      </c>
      <c r="H3" s="3" t="s">
        <v>119</v>
      </c>
    </row>
    <row r="4" spans="1:8" x14ac:dyDescent="0.25">
      <c r="A4" s="4">
        <v>1</v>
      </c>
      <c r="B4" s="5" t="s">
        <v>62</v>
      </c>
      <c r="C4" s="4">
        <f>COUNTIF('Sector Detail'!$B$4:$B$25, B4)</f>
      </c>
      <c r="D4" s="6">
        <f>SUMIF('Sector Detail'!$B$4:$B$25, B4, 'Sector Detail'!$E$4:$E$25)</f>
      </c>
      <c r="E4" s="6">
        <f>SUMIF('Sector Detail'!$B$4:$B$25, B4, 'Sector Detail'!$F$4:$F$25)</f>
      </c>
      <c r="F4" s="4">
        <f>E4/D4</f>
      </c>
      <c r="G4" s="6">
        <f>D4-E4</f>
      </c>
      <c r="H4">
        <f>RANK(F4,$F$4:$F$13,0)</f>
      </c>
    </row>
    <row r="5" spans="1:8" x14ac:dyDescent="0.25">
      <c r="A5" s="7">
        <v>2</v>
      </c>
      <c r="B5" s="8" t="s">
        <v>42</v>
      </c>
      <c r="C5" s="7">
        <f>COUNTIF('Sector Detail'!$B$4:$B$25, B5)</f>
      </c>
      <c r="D5" s="9">
        <f>SUMIF('Sector Detail'!$B$4:$B$25, B5, 'Sector Detail'!$E$4:$E$25)</f>
      </c>
      <c r="E5" s="9">
        <f>SUMIF('Sector Detail'!$B$4:$B$25, B5, 'Sector Detail'!$F$4:$F$25)</f>
      </c>
      <c r="F5" s="7">
        <f>E5/D5</f>
      </c>
      <c r="G5" s="9">
        <f>D5-E5</f>
      </c>
      <c r="H5">
        <f>RANK(F5,$F$4:$F$13,0)</f>
      </c>
    </row>
    <row r="6" spans="1:8" x14ac:dyDescent="0.25">
      <c r="A6" s="4">
        <v>3</v>
      </c>
      <c r="B6" s="5" t="s">
        <v>33</v>
      </c>
      <c r="C6" s="4">
        <f>COUNTIF('Sector Detail'!$B$4:$B$25, B6)</f>
      </c>
      <c r="D6" s="6">
        <f>SUMIF('Sector Detail'!$B$4:$B$25, B6, 'Sector Detail'!$E$4:$E$25)</f>
      </c>
      <c r="E6" s="6">
        <f>SUMIF('Sector Detail'!$B$4:$B$25, B6, 'Sector Detail'!$F$4:$F$25)</f>
      </c>
      <c r="F6" s="4">
        <f>E6/D6</f>
      </c>
      <c r="G6" s="6">
        <f>D6-E6</f>
      </c>
      <c r="H6">
        <f>RANK(F6,$F$4:$F$13,0)</f>
      </c>
    </row>
    <row r="7" spans="1:8" x14ac:dyDescent="0.25">
      <c r="A7" s="7">
        <v>4</v>
      </c>
      <c r="B7" s="8" t="s">
        <v>20</v>
      </c>
      <c r="C7" s="7">
        <f>COUNTIF('Sector Detail'!$B$4:$B$25, B7)</f>
      </c>
      <c r="D7" s="9">
        <f>SUMIF('Sector Detail'!$B$4:$B$25, B7, 'Sector Detail'!$E$4:$E$25)</f>
      </c>
      <c r="E7" s="9">
        <f>SUMIF('Sector Detail'!$B$4:$B$25, B7, 'Sector Detail'!$F$4:$F$25)</f>
      </c>
      <c r="F7" s="7">
        <f>E7/D7</f>
      </c>
      <c r="G7" s="9">
        <f>D7-E7</f>
      </c>
      <c r="H7">
        <f>RANK(F7,$F$4:$F$13,0)</f>
      </c>
    </row>
    <row r="8" spans="1:8" x14ac:dyDescent="0.25">
      <c r="A8" s="4">
        <v>5</v>
      </c>
      <c r="B8" s="5" t="s">
        <v>53</v>
      </c>
      <c r="C8" s="4">
        <f>COUNTIF('Sector Detail'!$B$4:$B$25, B8)</f>
      </c>
      <c r="D8" s="6">
        <f>SUMIF('Sector Detail'!$B$4:$B$25, B8, 'Sector Detail'!$E$4:$E$25)</f>
      </c>
      <c r="E8" s="6">
        <f>SUMIF('Sector Detail'!$B$4:$B$25, B8, 'Sector Detail'!$F$4:$F$25)</f>
      </c>
      <c r="F8" s="4">
        <f>E8/D8</f>
      </c>
      <c r="G8" s="6">
        <f>D8-E8</f>
      </c>
      <c r="H8">
        <f>RANK(F8,$F$4:$F$13,0)</f>
      </c>
    </row>
    <row r="9" spans="1:8" x14ac:dyDescent="0.25">
      <c r="A9" s="7">
        <v>6</v>
      </c>
      <c r="B9" s="8" t="s">
        <v>69</v>
      </c>
      <c r="C9" s="7">
        <f>COUNTIF('Sector Detail'!$B$4:$B$25, B9)</f>
      </c>
      <c r="D9" s="9">
        <f>SUMIF('Sector Detail'!$B$4:$B$25, B9, 'Sector Detail'!$E$4:$E$25)</f>
      </c>
      <c r="E9" s="9">
        <f>SUMIF('Sector Detail'!$B$4:$B$25, B9, 'Sector Detail'!$F$4:$F$25)</f>
      </c>
      <c r="F9" s="7">
        <f>E9/D9</f>
      </c>
      <c r="G9" s="9">
        <f>D9-E9</f>
      </c>
      <c r="H9">
        <f>RANK(F9,$F$4:$F$13,0)</f>
      </c>
    </row>
    <row r="10" spans="1:8" x14ac:dyDescent="0.25">
      <c r="A10" s="4">
        <v>7</v>
      </c>
      <c r="B10" s="5" t="s">
        <v>57</v>
      </c>
      <c r="C10" s="4">
        <f>COUNTIF('Sector Detail'!$B$4:$B$25, B10)</f>
      </c>
      <c r="D10" s="6">
        <f>SUMIF('Sector Detail'!$B$4:$B$25, B10, 'Sector Detail'!$E$4:$E$25)</f>
      </c>
      <c r="E10" s="6">
        <f>SUMIF('Sector Detail'!$B$4:$B$25, B10, 'Sector Detail'!$F$4:$F$25)</f>
      </c>
      <c r="F10" s="4">
        <f>E10/D10</f>
      </c>
      <c r="G10" s="6">
        <f>D10-E10</f>
      </c>
      <c r="H10">
        <f>RANK(F10,$F$4:$F$13,0)</f>
      </c>
    </row>
    <row r="11" spans="1:8" x14ac:dyDescent="0.25">
      <c r="A11" s="7">
        <v>8</v>
      </c>
      <c r="B11" s="8" t="s">
        <v>76</v>
      </c>
      <c r="C11" s="7">
        <f>COUNTIF('Sector Detail'!$B$4:$B$25, B11)</f>
      </c>
      <c r="D11" s="9">
        <f>SUMIF('Sector Detail'!$B$4:$B$25, B11, 'Sector Detail'!$E$4:$E$25)</f>
      </c>
      <c r="E11" s="9">
        <f>SUMIF('Sector Detail'!$B$4:$B$25, B11, 'Sector Detail'!$F$4:$F$25)</f>
      </c>
      <c r="F11" s="7">
        <f>E11/D11</f>
      </c>
      <c r="G11" s="9">
        <f>D11-E11</f>
      </c>
      <c r="H11">
        <f>RANK(F11,$F$4:$F$13,0)</f>
      </c>
    </row>
    <row r="12" spans="1:8" x14ac:dyDescent="0.25">
      <c r="A12" s="4">
        <v>9</v>
      </c>
      <c r="B12" s="5" t="s">
        <v>83</v>
      </c>
      <c r="C12" s="4">
        <f>COUNTIF('Sector Detail'!$B$4:$B$25, B12)</f>
      </c>
      <c r="D12" s="6">
        <f>SUMIF('Sector Detail'!$B$4:$B$25, B12, 'Sector Detail'!$E$4:$E$25)</f>
      </c>
      <c r="E12" s="6">
        <f>SUMIF('Sector Detail'!$B$4:$B$25, B12, 'Sector Detail'!$F$4:$F$25)</f>
      </c>
      <c r="F12" s="4">
        <f>E12/D12</f>
      </c>
      <c r="G12" s="6">
        <f>D12-E12</f>
      </c>
      <c r="H12">
        <f>RANK(F12,$F$4:$F$13,0)</f>
      </c>
    </row>
    <row r="13" spans="1:8" x14ac:dyDescent="0.25">
      <c r="A13" s="7">
        <v>10</v>
      </c>
      <c r="B13" s="8" t="s">
        <v>90</v>
      </c>
      <c r="C13" s="7">
        <f>COUNTIF('Sector Detail'!$B$4:$B$25, B13)</f>
      </c>
      <c r="D13" s="9">
        <f>SUMIF('Sector Detail'!$B$4:$B$25, B13, 'Sector Detail'!$E$4:$E$25)</f>
      </c>
      <c r="E13" s="9">
        <f>SUMIF('Sector Detail'!$B$4:$B$25, B13, 'Sector Detail'!$F$4:$F$25)</f>
      </c>
      <c r="F13" s="7">
        <f>E13/D13</f>
      </c>
      <c r="G13" s="9">
        <f>D13-E13</f>
      </c>
      <c r="H13">
        <f>RANK(F13,$F$4:$F$13,0)</f>
      </c>
    </row>
    <row r="14" spans="1:8" x14ac:dyDescent="0.25">
      <c r="A14" s="10"/>
      <c r="B14" s="10" t="s">
        <v>120</v>
      </c>
      <c r="C14" s="10">
        <f>SUM(C4:C13)</f>
      </c>
      <c r="D14" s="10">
        <f>SUM(D4:D13)</f>
      </c>
      <c r="E14" s="10">
        <f>SUM(E4:E13)</f>
      </c>
      <c r="F14" s="10">
        <f>E14/D14</f>
      </c>
      <c r="G14" s="10">
        <f>D14-E14</f>
      </c>
      <c r="H14" s="10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16" customWidth="1"/>
    <col min="4" max="5" width="18" customWidth="1"/>
    <col min="6" max="6" width="14" customWidth="1"/>
    <col min="7" max="7" width="18" customWidth="1"/>
    <col min="8" max="8" width="42" customWidth="1"/>
  </cols>
  <sheetData>
    <row r="1" spans="1:8" x14ac:dyDescent="0.25">
      <c r="A1" s="1" t="s">
        <v>121</v>
      </c>
      <c r="B1" s="1"/>
      <c r="C1" s="1"/>
      <c r="D1" s="1"/>
      <c r="E1" s="1"/>
      <c r="F1" s="1"/>
      <c r="G1" s="1"/>
      <c r="H1" s="1"/>
    </row>
    <row r="3" ht="32" customHeight="1" spans="1:8" x14ac:dyDescent="0.25">
      <c r="A3" s="3" t="s">
        <v>5</v>
      </c>
      <c r="B3" s="3" t="s">
        <v>122</v>
      </c>
      <c r="C3" s="3" t="s">
        <v>123</v>
      </c>
      <c r="D3" s="3" t="s">
        <v>117</v>
      </c>
      <c r="E3" s="3" t="s">
        <v>118</v>
      </c>
      <c r="F3" s="3" t="s">
        <v>11</v>
      </c>
      <c r="G3" s="3" t="s">
        <v>14</v>
      </c>
      <c r="H3" s="3" t="s">
        <v>124</v>
      </c>
    </row>
    <row r="4" spans="1:8" x14ac:dyDescent="0.25">
      <c r="A4" s="4">
        <v>1</v>
      </c>
      <c r="B4" s="5" t="s">
        <v>64</v>
      </c>
      <c r="C4" s="4" t="s">
        <v>63</v>
      </c>
      <c r="D4" s="6">
        <f>SUMIF('Sector Detail'!$M$4:$M$25, B4, 'Sector Detail'!$E$4:$E$25)</f>
      </c>
      <c r="E4" s="6">
        <f>SUMIF('Sector Detail'!$M$4:$M$25, B4, 'Sector Detail'!$F$4:$F$25)</f>
      </c>
      <c r="F4" s="4">
        <f>E4/D4</f>
      </c>
      <c r="G4" s="6">
        <f>D4-E4</f>
      </c>
      <c r="H4" s="5">
        <f>IF(ISNUMBER(SEARCH(",", C4)), "एकाधिक सेक्टर — क्षमता जांचें / Multiple sectors — verify capacity", "सामान्य / Normal")</f>
      </c>
    </row>
    <row r="5" spans="1:8" x14ac:dyDescent="0.25">
      <c r="A5" s="7">
        <v>2</v>
      </c>
      <c r="B5" s="8" t="s">
        <v>51</v>
      </c>
      <c r="C5" s="7" t="s">
        <v>50</v>
      </c>
      <c r="D5" s="9">
        <f>SUMIF('Sector Detail'!$M$4:$M$25, B5, 'Sector Detail'!$E$4:$E$25)</f>
      </c>
      <c r="E5" s="9">
        <f>SUMIF('Sector Detail'!$M$4:$M$25, B5, 'Sector Detail'!$F$4:$F$25)</f>
      </c>
      <c r="F5" s="7">
        <f>E5/D5</f>
      </c>
      <c r="G5" s="9">
        <f>D5-E5</f>
      </c>
      <c r="H5" s="8">
        <f>IF(ISNUMBER(SEARCH(",", C5)), "एकाधिक सेक्टर — क्षमता जांचें / Multiple sectors — verify capacity", "सामान्य / Normal")</f>
      </c>
    </row>
    <row r="6" spans="1:8" x14ac:dyDescent="0.25">
      <c r="A6" s="4">
        <v>3</v>
      </c>
      <c r="B6" s="5" t="s">
        <v>67</v>
      </c>
      <c r="C6" s="4" t="s">
        <v>66</v>
      </c>
      <c r="D6" s="6">
        <f>SUMIF('Sector Detail'!$M$4:$M$25, B6, 'Sector Detail'!$E$4:$E$25)</f>
      </c>
      <c r="E6" s="6">
        <f>SUMIF('Sector Detail'!$M$4:$M$25, B6, 'Sector Detail'!$F$4:$F$25)</f>
      </c>
      <c r="F6" s="4">
        <f>E6/D6</f>
      </c>
      <c r="G6" s="6">
        <f>D6-E6</f>
      </c>
      <c r="H6" s="5">
        <f>IF(ISNUMBER(SEARCH(",", C6)), "एकाधिक सेक्टर — क्षमता जांचें / Multiple sectors — verify capacity", "सामान्य / Normal")</f>
      </c>
    </row>
    <row r="7" spans="1:8" x14ac:dyDescent="0.25">
      <c r="A7" s="7">
        <v>4</v>
      </c>
      <c r="B7" s="8" t="s">
        <v>48</v>
      </c>
      <c r="C7" s="7" t="s">
        <v>47</v>
      </c>
      <c r="D7" s="9">
        <f>SUMIF('Sector Detail'!$M$4:$M$25, B7, 'Sector Detail'!$E$4:$E$25)</f>
      </c>
      <c r="E7" s="9">
        <f>SUMIF('Sector Detail'!$M$4:$M$25, B7, 'Sector Detail'!$F$4:$F$25)</f>
      </c>
      <c r="F7" s="7">
        <f>E7/D7</f>
      </c>
      <c r="G7" s="9">
        <f>D7-E7</f>
      </c>
      <c r="H7" s="8">
        <f>IF(ISNUMBER(SEARCH(",", C7)), "एकाधिक सेक्टर — क्षमता जांचें / Multiple sectors — verify capacity", "सामान्य / Normal")</f>
      </c>
    </row>
    <row r="8" spans="1:8" x14ac:dyDescent="0.25">
      <c r="A8" s="4">
        <v>5</v>
      </c>
      <c r="B8" s="5" t="s">
        <v>39</v>
      </c>
      <c r="C8" s="4" t="s">
        <v>38</v>
      </c>
      <c r="D8" s="6">
        <f>SUMIF('Sector Detail'!$M$4:$M$25, B8, 'Sector Detail'!$E$4:$E$25)</f>
      </c>
      <c r="E8" s="6">
        <f>SUMIF('Sector Detail'!$M$4:$M$25, B8, 'Sector Detail'!$F$4:$F$25)</f>
      </c>
      <c r="F8" s="4">
        <f>E8/D8</f>
      </c>
      <c r="G8" s="6">
        <f>D8-E8</f>
      </c>
      <c r="H8" s="5">
        <f>IF(ISNUMBER(SEARCH(",", C8)), "एकाधिक सेक्टर — क्षमता जांचें / Multiple sectors — verify capacity", "सामान्य / Normal")</f>
      </c>
    </row>
    <row r="9" spans="1:8" x14ac:dyDescent="0.25">
      <c r="A9" s="7">
        <v>6</v>
      </c>
      <c r="B9" s="8" t="s">
        <v>22</v>
      </c>
      <c r="C9" s="7" t="s">
        <v>21</v>
      </c>
      <c r="D9" s="9">
        <f>SUMIF('Sector Detail'!$M$4:$M$25, B9, 'Sector Detail'!$E$4:$E$25)</f>
      </c>
      <c r="E9" s="9">
        <f>SUMIF('Sector Detail'!$M$4:$M$25, B9, 'Sector Detail'!$F$4:$F$25)</f>
      </c>
      <c r="F9" s="7">
        <f>E9/D9</f>
      </c>
      <c r="G9" s="9">
        <f>D9-E9</f>
      </c>
      <c r="H9" s="8">
        <f>IF(ISNUMBER(SEARCH(",", C9)), "एकाधिक सेक्टर — क्षमता जांचें / Multiple sectors — verify capacity", "सामान्य / Normal")</f>
      </c>
    </row>
    <row r="10" spans="1:8" x14ac:dyDescent="0.25">
      <c r="A10" s="4">
        <v>7</v>
      </c>
      <c r="B10" s="5" t="s">
        <v>35</v>
      </c>
      <c r="C10" s="4" t="s">
        <v>34</v>
      </c>
      <c r="D10" s="6">
        <f>SUMIF('Sector Detail'!$M$4:$M$25, B10, 'Sector Detail'!$E$4:$E$25)</f>
      </c>
      <c r="E10" s="6">
        <f>SUMIF('Sector Detail'!$M$4:$M$25, B10, 'Sector Detail'!$F$4:$F$25)</f>
      </c>
      <c r="F10" s="4">
        <f>E10/D10</f>
      </c>
      <c r="G10" s="6">
        <f>D10-E10</f>
      </c>
      <c r="H10" s="5">
        <f>IF(ISNUMBER(SEARCH(",", C10)), "एकाधिक सेक्टर — क्षमता जांचें / Multiple sectors — verify capacity", "सामान्य / Normal")</f>
      </c>
    </row>
    <row r="11" spans="1:8" x14ac:dyDescent="0.25">
      <c r="A11" s="7">
        <v>8</v>
      </c>
      <c r="B11" s="8" t="s">
        <v>74</v>
      </c>
      <c r="C11" s="7" t="s">
        <v>73</v>
      </c>
      <c r="D11" s="9">
        <f>SUMIF('Sector Detail'!$M$4:$M$25, B11, 'Sector Detail'!$E$4:$E$25)</f>
      </c>
      <c r="E11" s="9">
        <f>SUMIF('Sector Detail'!$M$4:$M$25, B11, 'Sector Detail'!$F$4:$F$25)</f>
      </c>
      <c r="F11" s="7">
        <f>E11/D11</f>
      </c>
      <c r="G11" s="9">
        <f>D11-E11</f>
      </c>
      <c r="H11" s="8">
        <f>IF(ISNUMBER(SEARCH(",", C11)), "एकाधिक सेक्टर — क्षमता जांचें / Multiple sectors — verify capacity", "सामान्य / Normal")</f>
      </c>
    </row>
    <row r="12" spans="1:8" x14ac:dyDescent="0.25">
      <c r="A12" s="4">
        <v>9</v>
      </c>
      <c r="B12" s="5" t="s">
        <v>59</v>
      </c>
      <c r="C12" s="4" t="s">
        <v>58</v>
      </c>
      <c r="D12" s="6">
        <f>SUMIF('Sector Detail'!$M$4:$M$25, B12, 'Sector Detail'!$E$4:$E$25)</f>
      </c>
      <c r="E12" s="6">
        <f>SUMIF('Sector Detail'!$M$4:$M$25, B12, 'Sector Detail'!$F$4:$F$25)</f>
      </c>
      <c r="F12" s="4">
        <f>E12/D12</f>
      </c>
      <c r="G12" s="6">
        <f>D12-E12</f>
      </c>
      <c r="H12" s="5">
        <f>IF(ISNUMBER(SEARCH(",", C12)), "एकाधिक सेक्टर — क्षमता जांचें / Multiple sectors — verify capacity", "सामान्य / Normal")</f>
      </c>
    </row>
    <row r="13" spans="1:8" x14ac:dyDescent="0.25">
      <c r="A13" s="7">
        <v>10</v>
      </c>
      <c r="B13" s="8" t="s">
        <v>55</v>
      </c>
      <c r="C13" s="7" t="s">
        <v>54</v>
      </c>
      <c r="D13" s="9">
        <f>SUMIF('Sector Detail'!$M$4:$M$25, B13, 'Sector Detail'!$E$4:$E$25)</f>
      </c>
      <c r="E13" s="9">
        <f>SUMIF('Sector Detail'!$M$4:$M$25, B13, 'Sector Detail'!$F$4:$F$25)</f>
      </c>
      <c r="F13" s="7">
        <f>E13/D13</f>
      </c>
      <c r="G13" s="9">
        <f>D13-E13</f>
      </c>
      <c r="H13" s="8">
        <f>IF(ISNUMBER(SEARCH(",", C13)), "एकाधिक सेक्टर — क्षमता जांचें / Multiple sectors — verify capacity", "सामान्य / Normal")</f>
      </c>
    </row>
    <row r="14" spans="1:8" x14ac:dyDescent="0.25">
      <c r="A14" s="4">
        <v>11</v>
      </c>
      <c r="B14" s="5" t="s">
        <v>26</v>
      </c>
      <c r="C14" s="4" t="s">
        <v>125</v>
      </c>
      <c r="D14" s="6">
        <f>SUMIF('Sector Detail'!$M$4:$M$25, B14, 'Sector Detail'!$E$4:$E$25)</f>
      </c>
      <c r="E14" s="6">
        <f>SUMIF('Sector Detail'!$M$4:$M$25, B14, 'Sector Detail'!$F$4:$F$25)</f>
      </c>
      <c r="F14" s="4">
        <f>E14/D14</f>
      </c>
      <c r="G14" s="6">
        <f>D14-E14</f>
      </c>
      <c r="H14" s="20">
        <f>IF(ISNUMBER(SEARCH(",", C14)), "एकाधिक सेक्टर — क्षमता जांचें / Multiple sectors — verify capacity", "सामान्य / Normal")</f>
      </c>
    </row>
    <row r="15" spans="1:8" x14ac:dyDescent="0.25">
      <c r="A15" s="7">
        <v>12</v>
      </c>
      <c r="B15" s="8" t="s">
        <v>98</v>
      </c>
      <c r="C15" s="7" t="s">
        <v>97</v>
      </c>
      <c r="D15" s="9">
        <f>SUMIF('Sector Detail'!$M$4:$M$25, B15, 'Sector Detail'!$E$4:$E$25)</f>
      </c>
      <c r="E15" s="9">
        <f>SUMIF('Sector Detail'!$M$4:$M$25, B15, 'Sector Detail'!$F$4:$F$25)</f>
      </c>
      <c r="F15" s="7">
        <f>E15/D15</f>
      </c>
      <c r="G15" s="9">
        <f>D15-E15</f>
      </c>
      <c r="H15" s="8">
        <f>IF(ISNUMBER(SEARCH(",", C15)), "एकाधिक सेक्टर — क्षमता जांचें / Multiple sectors — verify capacity", "सामान्य / Normal")</f>
      </c>
    </row>
    <row r="16" spans="1:8" x14ac:dyDescent="0.25">
      <c r="A16" s="4">
        <v>13</v>
      </c>
      <c r="B16" s="5" t="s">
        <v>44</v>
      </c>
      <c r="C16" s="4" t="s">
        <v>43</v>
      </c>
      <c r="D16" s="6">
        <f>SUMIF('Sector Detail'!$M$4:$M$25, B16, 'Sector Detail'!$E$4:$E$25)</f>
      </c>
      <c r="E16" s="6">
        <f>SUMIF('Sector Detail'!$M$4:$M$25, B16, 'Sector Detail'!$F$4:$F$25)</f>
      </c>
      <c r="F16" s="4">
        <f>E16/D16</f>
      </c>
      <c r="G16" s="6">
        <f>D16-E16</f>
      </c>
      <c r="H16" s="5">
        <f>IF(ISNUMBER(SEARCH(",", C16)), "एकाधिक सेक्टर — क्षमता जांचें / Multiple sectors — verify capacity", "सामान्य / Normal")</f>
      </c>
    </row>
    <row r="17" spans="1:8" x14ac:dyDescent="0.25">
      <c r="A17" s="7">
        <v>14</v>
      </c>
      <c r="B17" s="8" t="s">
        <v>71</v>
      </c>
      <c r="C17" s="7" t="s">
        <v>70</v>
      </c>
      <c r="D17" s="9">
        <f>SUMIF('Sector Detail'!$M$4:$M$25, B17, 'Sector Detail'!$E$4:$E$25)</f>
      </c>
      <c r="E17" s="9">
        <f>SUMIF('Sector Detail'!$M$4:$M$25, B17, 'Sector Detail'!$F$4:$F$25)</f>
      </c>
      <c r="F17" s="7">
        <f>E17/D17</f>
      </c>
      <c r="G17" s="9">
        <f>D17-E17</f>
      </c>
      <c r="H17" s="8">
        <f>IF(ISNUMBER(SEARCH(",", C17)), "एकाधिक सेक्टर — क्षमता जांचें / Multiple sectors — verify capacity", "सामान्य / Normal")</f>
      </c>
    </row>
    <row r="18" spans="1:8" x14ac:dyDescent="0.25">
      <c r="A18" s="4">
        <v>15</v>
      </c>
      <c r="B18" s="5" t="s">
        <v>30</v>
      </c>
      <c r="C18" s="4" t="s">
        <v>29</v>
      </c>
      <c r="D18" s="6">
        <f>SUMIF('Sector Detail'!$M$4:$M$25, B18, 'Sector Detail'!$E$4:$E$25)</f>
      </c>
      <c r="E18" s="6">
        <f>SUMIF('Sector Detail'!$M$4:$M$25, B18, 'Sector Detail'!$F$4:$F$25)</f>
      </c>
      <c r="F18" s="4">
        <f>E18/D18</f>
      </c>
      <c r="G18" s="6">
        <f>D18-E18</f>
      </c>
      <c r="H18" s="5">
        <f>IF(ISNUMBER(SEARCH(",", C18)), "एकाधिक सेक्टर — क्षमता जांचें / Multiple sectors — verify capacity", "सामान्य / Normal")</f>
      </c>
    </row>
    <row r="19" spans="1:8" x14ac:dyDescent="0.25">
      <c r="A19" s="7">
        <v>16</v>
      </c>
      <c r="B19" s="8" t="s">
        <v>78</v>
      </c>
      <c r="C19" s="7" t="s">
        <v>77</v>
      </c>
      <c r="D19" s="9">
        <f>SUMIF('Sector Detail'!$M$4:$M$25, B19, 'Sector Detail'!$E$4:$E$25)</f>
      </c>
      <c r="E19" s="9">
        <f>SUMIF('Sector Detail'!$M$4:$M$25, B19, 'Sector Detail'!$F$4:$F$25)</f>
      </c>
      <c r="F19" s="7">
        <f>E19/D19</f>
      </c>
      <c r="G19" s="9">
        <f>D19-E19</f>
      </c>
      <c r="H19" s="8">
        <f>IF(ISNUMBER(SEARCH(",", C19)), "एकाधिक सेक्टर — क्षमता जांचें / Multiple sectors — verify capacity", "सामान्य / Normal")</f>
      </c>
    </row>
    <row r="20" spans="1:8" x14ac:dyDescent="0.25">
      <c r="A20" s="4">
        <v>17</v>
      </c>
      <c r="B20" s="5" t="s">
        <v>81</v>
      </c>
      <c r="C20" s="4" t="s">
        <v>80</v>
      </c>
      <c r="D20" s="6">
        <f>SUMIF('Sector Detail'!$M$4:$M$25, B20, 'Sector Detail'!$E$4:$E$25)</f>
      </c>
      <c r="E20" s="6">
        <f>SUMIF('Sector Detail'!$M$4:$M$25, B20, 'Sector Detail'!$F$4:$F$25)</f>
      </c>
      <c r="F20" s="4">
        <f>E20/D20</f>
      </c>
      <c r="G20" s="6">
        <f>D20-E20</f>
      </c>
      <c r="H20" s="5">
        <f>IF(ISNUMBER(SEARCH(",", C20)), "एकाधिक सेक्टर — क्षमता जांचें / Multiple sectors — verify capacity", "सामान्य / Normal")</f>
      </c>
    </row>
    <row r="21" spans="1:8" x14ac:dyDescent="0.25">
      <c r="A21" s="7">
        <v>18</v>
      </c>
      <c r="B21" s="8" t="s">
        <v>85</v>
      </c>
      <c r="C21" s="7" t="s">
        <v>84</v>
      </c>
      <c r="D21" s="9">
        <f>SUMIF('Sector Detail'!$M$4:$M$25, B21, 'Sector Detail'!$E$4:$E$25)</f>
      </c>
      <c r="E21" s="9">
        <f>SUMIF('Sector Detail'!$M$4:$M$25, B21, 'Sector Detail'!$F$4:$F$25)</f>
      </c>
      <c r="F21" s="7">
        <f>E21/D21</f>
      </c>
      <c r="G21" s="9">
        <f>D21-E21</f>
      </c>
      <c r="H21" s="8">
        <f>IF(ISNUMBER(SEARCH(",", C21)), "एकाधिक सेक्टर — क्षमता जांचें / Multiple sectors — verify capacity", "सामान्य / Normal")</f>
      </c>
    </row>
    <row r="22" spans="1:8" x14ac:dyDescent="0.25">
      <c r="A22" s="4">
        <v>19</v>
      </c>
      <c r="B22" s="5" t="s">
        <v>95</v>
      </c>
      <c r="C22" s="4" t="s">
        <v>94</v>
      </c>
      <c r="D22" s="6">
        <f>SUMIF('Sector Detail'!$M$4:$M$25, B22, 'Sector Detail'!$E$4:$E$25)</f>
      </c>
      <c r="E22" s="6">
        <f>SUMIF('Sector Detail'!$M$4:$M$25, B22, 'Sector Detail'!$F$4:$F$25)</f>
      </c>
      <c r="F22" s="4">
        <f>E22/D22</f>
      </c>
      <c r="G22" s="6">
        <f>D22-E22</f>
      </c>
      <c r="H22" s="5">
        <f>IF(ISNUMBER(SEARCH(",", C22)), "एकाधिक सेक्टर — क्षमता जांचें / Multiple sectors — verify capacity", "सामान्य / Normal")</f>
      </c>
    </row>
    <row r="23" spans="1:8" x14ac:dyDescent="0.25">
      <c r="A23" s="7">
        <v>20</v>
      </c>
      <c r="B23" s="8" t="s">
        <v>88</v>
      </c>
      <c r="C23" s="7" t="s">
        <v>87</v>
      </c>
      <c r="D23" s="9">
        <f>SUMIF('Sector Detail'!$M$4:$M$25, B23, 'Sector Detail'!$E$4:$E$25)</f>
      </c>
      <c r="E23" s="9">
        <f>SUMIF('Sector Detail'!$M$4:$M$25, B23, 'Sector Detail'!$F$4:$F$25)</f>
      </c>
      <c r="F23" s="7">
        <f>E23/D23</f>
      </c>
      <c r="G23" s="9">
        <f>D23-E23</f>
      </c>
      <c r="H23" s="8">
        <f>IF(ISNUMBER(SEARCH(",", C23)), "एकाधिक सेक्टर — क्षमता जांचें / Multiple sectors — verify capacity", "सामान्य / Normal")</f>
      </c>
    </row>
    <row r="24" spans="1:8" x14ac:dyDescent="0.25">
      <c r="A24" s="4">
        <v>21</v>
      </c>
      <c r="B24" s="5" t="s">
        <v>92</v>
      </c>
      <c r="C24" s="4" t="s">
        <v>91</v>
      </c>
      <c r="D24" s="6">
        <f>SUMIF('Sector Detail'!$M$4:$M$25, B24, 'Sector Detail'!$E$4:$E$25)</f>
      </c>
      <c r="E24" s="6">
        <f>SUMIF('Sector Detail'!$M$4:$M$25, B24, 'Sector Detail'!$F$4:$F$25)</f>
      </c>
      <c r="F24" s="4">
        <f>E24/D24</f>
      </c>
      <c r="G24" s="6">
        <f>D24-E24</f>
      </c>
      <c r="H24" s="5">
        <f>IF(ISNUMBER(SEARCH(",", C24)), "एकाधिक सेक्टर — क्षमता जांचें / Multiple sectors — verify capacity", "सामान्य / Normal")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12" customWidth="1"/>
    <col min="5" max="5" width="16" customWidth="1"/>
    <col min="6" max="6" width="14" customWidth="1"/>
    <col min="7" max="7" width="26" customWidth="1"/>
    <col min="8" max="8" width="48" customWidth="1"/>
  </cols>
  <sheetData>
    <row r="1" spans="1:8" x14ac:dyDescent="0.25">
      <c r="A1" s="21" t="s">
        <v>126</v>
      </c>
      <c r="B1" s="21"/>
      <c r="C1" s="21"/>
      <c r="D1" s="21"/>
      <c r="E1" s="21"/>
      <c r="F1" s="21"/>
      <c r="G1" s="21"/>
      <c r="H1" s="21"/>
    </row>
    <row r="3" ht="32" customHeight="1" spans="1:8" x14ac:dyDescent="0.25">
      <c r="A3" s="3" t="s">
        <v>5</v>
      </c>
      <c r="B3" s="3" t="s">
        <v>7</v>
      </c>
      <c r="C3" s="3" t="s">
        <v>6</v>
      </c>
      <c r="D3" s="3" t="s">
        <v>11</v>
      </c>
      <c r="E3" s="3" t="s">
        <v>14</v>
      </c>
      <c r="F3" s="3" t="s">
        <v>15</v>
      </c>
      <c r="G3" s="3" t="s">
        <v>127</v>
      </c>
      <c r="H3" s="3" t="s">
        <v>128</v>
      </c>
    </row>
    <row r="4" spans="1:8" x14ac:dyDescent="0.25">
      <c r="A4" s="4">
        <v>1</v>
      </c>
      <c r="B4" s="5" t="s">
        <v>91</v>
      </c>
      <c r="C4" s="5" t="s">
        <v>90</v>
      </c>
      <c r="D4" s="4">
        <v>0.16305413302701866</v>
      </c>
      <c r="E4" s="6">
        <v>3577.499999999998</v>
      </c>
      <c r="F4" s="22" t="s">
        <v>129</v>
      </c>
      <c r="G4" s="5" t="s">
        <v>130</v>
      </c>
      <c r="H4" s="23" t="s">
        <v>131</v>
      </c>
    </row>
    <row r="5" spans="1:8" x14ac:dyDescent="0.25">
      <c r="A5" s="7">
        <v>2</v>
      </c>
      <c r="B5" s="8" t="s">
        <v>87</v>
      </c>
      <c r="C5" s="8" t="s">
        <v>83</v>
      </c>
      <c r="D5" s="7">
        <v>0.2012187283761867</v>
      </c>
      <c r="E5" s="9">
        <v>2920.5599999999995</v>
      </c>
      <c r="F5" s="22" t="s">
        <v>129</v>
      </c>
      <c r="G5" s="8" t="s">
        <v>132</v>
      </c>
      <c r="H5" s="24" t="s">
        <v>133</v>
      </c>
    </row>
    <row r="6" spans="1:8" x14ac:dyDescent="0.25">
      <c r="A6" s="4">
        <v>3</v>
      </c>
      <c r="B6" s="5" t="s">
        <v>94</v>
      </c>
      <c r="C6" s="5" t="s">
        <v>90</v>
      </c>
      <c r="D6" s="4">
        <v>0.24398071410218294</v>
      </c>
      <c r="E6" s="6">
        <v>3001.200000000001</v>
      </c>
      <c r="F6" s="22" t="s">
        <v>129</v>
      </c>
      <c r="G6" s="5" t="s">
        <v>134</v>
      </c>
      <c r="H6" s="23" t="s">
        <v>135</v>
      </c>
    </row>
    <row r="7" spans="1:8" x14ac:dyDescent="0.25">
      <c r="A7" s="7">
        <v>4</v>
      </c>
      <c r="B7" s="8" t="s">
        <v>84</v>
      </c>
      <c r="C7" s="8" t="s">
        <v>83</v>
      </c>
      <c r="D7" s="7">
        <v>0.26068166617474625</v>
      </c>
      <c r="E7" s="9">
        <v>2730.3100000000013</v>
      </c>
      <c r="F7" s="22" t="s">
        <v>129</v>
      </c>
      <c r="G7" s="8" t="s">
        <v>136</v>
      </c>
      <c r="H7" s="24" t="s">
        <v>137</v>
      </c>
    </row>
    <row r="8" spans="1:8" x14ac:dyDescent="0.25">
      <c r="A8" s="4">
        <v>5</v>
      </c>
      <c r="B8" s="5" t="s">
        <v>80</v>
      </c>
      <c r="C8" s="5" t="s">
        <v>76</v>
      </c>
      <c r="D8" s="4">
        <v>0.2621483703874659</v>
      </c>
      <c r="E8" s="6">
        <v>2301.919999999998</v>
      </c>
      <c r="F8" s="22" t="s">
        <v>129</v>
      </c>
      <c r="G8" s="5" t="s">
        <v>138</v>
      </c>
      <c r="H8" s="23" t="s">
        <v>139</v>
      </c>
    </row>
    <row r="9" spans="1:8" x14ac:dyDescent="0.25">
      <c r="A9" s="7">
        <v>6</v>
      </c>
      <c r="B9" s="8" t="s">
        <v>77</v>
      </c>
      <c r="C9" s="8" t="s">
        <v>76</v>
      </c>
      <c r="D9" s="7">
        <v>0.26356058350699607</v>
      </c>
      <c r="E9" s="9">
        <v>2473.7000000000007</v>
      </c>
      <c r="F9" s="22" t="s">
        <v>129</v>
      </c>
      <c r="G9" s="8" t="s">
        <v>140</v>
      </c>
      <c r="H9" s="24" t="s">
        <v>141</v>
      </c>
    </row>
    <row r="10" spans="1:8" x14ac:dyDescent="0.25">
      <c r="A10" s="4">
        <v>7</v>
      </c>
      <c r="B10" s="5" t="s">
        <v>29</v>
      </c>
      <c r="C10" s="5" t="s">
        <v>20</v>
      </c>
      <c r="D10" s="4">
        <v>0.2815074794016479</v>
      </c>
      <c r="E10" s="6">
        <v>2874.1999999999994</v>
      </c>
      <c r="F10" s="22" t="s">
        <v>129</v>
      </c>
      <c r="G10" s="5" t="s">
        <v>142</v>
      </c>
      <c r="H10" s="23" t="s">
        <v>131</v>
      </c>
    </row>
    <row r="11" spans="1:8" x14ac:dyDescent="0.25">
      <c r="A11" s="7">
        <v>8</v>
      </c>
      <c r="B11" s="8" t="s">
        <v>70</v>
      </c>
      <c r="C11" s="8" t="s">
        <v>69</v>
      </c>
      <c r="D11" s="7">
        <v>0.3099939953717133</v>
      </c>
      <c r="E11" s="9">
        <v>2045.4400000000014</v>
      </c>
      <c r="F11" s="22" t="s">
        <v>129</v>
      </c>
      <c r="G11" s="8" t="s">
        <v>143</v>
      </c>
      <c r="H11" s="24" t="s">
        <v>131</v>
      </c>
    </row>
    <row r="12" spans="1:8" x14ac:dyDescent="0.25">
      <c r="A12" s="4">
        <v>9</v>
      </c>
      <c r="B12" s="5" t="s">
        <v>61</v>
      </c>
      <c r="C12" s="5" t="s">
        <v>57</v>
      </c>
      <c r="D12" s="4">
        <v>0.3120282934068126</v>
      </c>
      <c r="E12" s="6">
        <v>2104.7599999999993</v>
      </c>
      <c r="F12" s="22" t="s">
        <v>129</v>
      </c>
      <c r="G12" s="5" t="s">
        <v>144</v>
      </c>
      <c r="H12" s="23" t="s">
        <v>131</v>
      </c>
    </row>
    <row r="13" spans="1:8" x14ac:dyDescent="0.25">
      <c r="A13" s="7">
        <v>10</v>
      </c>
      <c r="B13" s="8" t="s">
        <v>43</v>
      </c>
      <c r="C13" s="8" t="s">
        <v>42</v>
      </c>
      <c r="D13" s="7">
        <v>0.3339067695938403</v>
      </c>
      <c r="E13" s="9">
        <v>1676.5499999999997</v>
      </c>
      <c r="F13" s="22" t="s">
        <v>129</v>
      </c>
      <c r="G13" s="8" t="s">
        <v>145</v>
      </c>
      <c r="H13" s="24" t="s">
        <v>131</v>
      </c>
    </row>
    <row r="14" spans="1:8" x14ac:dyDescent="0.25">
      <c r="A14" s="4">
        <v>11</v>
      </c>
      <c r="B14" s="5" t="s">
        <v>97</v>
      </c>
      <c r="C14" s="5" t="s">
        <v>57</v>
      </c>
      <c r="D14" s="4">
        <v>0.33967531724369937</v>
      </c>
      <c r="E14" s="6">
        <v>1904</v>
      </c>
      <c r="F14" s="22" t="s">
        <v>129</v>
      </c>
      <c r="G14" s="5" t="s">
        <v>146</v>
      </c>
      <c r="H14" s="23" t="s">
        <v>131</v>
      </c>
    </row>
    <row r="15" spans="1:8" x14ac:dyDescent="0.25">
      <c r="A15" s="7">
        <v>12</v>
      </c>
      <c r="B15" s="8" t="s">
        <v>54</v>
      </c>
      <c r="C15" s="8" t="s">
        <v>53</v>
      </c>
      <c r="D15" s="7">
        <v>0.36517163874131564</v>
      </c>
      <c r="E15" s="9">
        <v>1864.1100000000017</v>
      </c>
      <c r="F15" s="22" t="s">
        <v>129</v>
      </c>
      <c r="G15" s="8" t="s">
        <v>147</v>
      </c>
      <c r="H15" s="24" t="s">
        <v>131</v>
      </c>
    </row>
    <row r="16" spans="1:8" x14ac:dyDescent="0.25">
      <c r="A16" s="4">
        <v>13</v>
      </c>
      <c r="B16" s="5" t="s">
        <v>58</v>
      </c>
      <c r="C16" s="5" t="s">
        <v>57</v>
      </c>
      <c r="D16" s="4">
        <v>0.37842731768074556</v>
      </c>
      <c r="E16" s="6">
        <v>1836.4799999999989</v>
      </c>
      <c r="F16" s="22" t="s">
        <v>129</v>
      </c>
      <c r="G16" s="5" t="s">
        <v>148</v>
      </c>
      <c r="H16" s="23" t="s">
        <v>131</v>
      </c>
    </row>
    <row r="17" spans="1:8" x14ac:dyDescent="0.25">
      <c r="A17" s="7">
        <v>14</v>
      </c>
      <c r="B17" s="8" t="s">
        <v>25</v>
      </c>
      <c r="C17" s="8" t="s">
        <v>20</v>
      </c>
      <c r="D17" s="7">
        <v>0.40528187029476564</v>
      </c>
      <c r="E17" s="9">
        <v>2278.2699999999995</v>
      </c>
      <c r="F17" s="22" t="s">
        <v>129</v>
      </c>
      <c r="G17" s="8" t="s">
        <v>144</v>
      </c>
      <c r="H17" s="24" t="s">
        <v>149</v>
      </c>
    </row>
    <row r="18" spans="1:8" x14ac:dyDescent="0.25">
      <c r="A18" s="4">
        <v>15</v>
      </c>
      <c r="B18" s="5" t="s">
        <v>73</v>
      </c>
      <c r="C18" s="5" t="s">
        <v>69</v>
      </c>
      <c r="D18" s="4">
        <v>0.4063588740557508</v>
      </c>
      <c r="E18" s="6">
        <v>1651.0999999999995</v>
      </c>
      <c r="F18" s="22" t="s">
        <v>129</v>
      </c>
      <c r="G18" s="5" t="s">
        <v>150</v>
      </c>
      <c r="H18" s="23" t="s">
        <v>151</v>
      </c>
    </row>
    <row r="19" spans="1:8" x14ac:dyDescent="0.25">
      <c r="A19" s="7">
        <v>16</v>
      </c>
      <c r="B19" s="8" t="s">
        <v>34</v>
      </c>
      <c r="C19" s="8" t="s">
        <v>33</v>
      </c>
      <c r="D19" s="7">
        <v>0.42478098767126415</v>
      </c>
      <c r="E19" s="9">
        <v>1760.3600000000004</v>
      </c>
      <c r="F19" s="22" t="s">
        <v>129</v>
      </c>
      <c r="G19" s="8" t="s">
        <v>152</v>
      </c>
      <c r="H19" s="24" t="s">
        <v>153</v>
      </c>
    </row>
    <row r="20" spans="1:8" x14ac:dyDescent="0.25">
      <c r="A20" s="4">
        <v>17</v>
      </c>
      <c r="B20" s="5" t="s">
        <v>21</v>
      </c>
      <c r="C20" s="5" t="s">
        <v>20</v>
      </c>
      <c r="D20" s="4">
        <v>0.42818812998703254</v>
      </c>
      <c r="E20" s="6">
        <v>2041.6600000000008</v>
      </c>
      <c r="F20" s="22" t="s">
        <v>129</v>
      </c>
      <c r="G20" s="5" t="s">
        <v>154</v>
      </c>
      <c r="H20" s="23" t="s">
        <v>155</v>
      </c>
    </row>
    <row r="21" spans="1:8" x14ac:dyDescent="0.25">
      <c r="A21" s="7">
        <v>18</v>
      </c>
      <c r="B21" s="8" t="s">
        <v>38</v>
      </c>
      <c r="C21" s="8" t="s">
        <v>33</v>
      </c>
      <c r="D21" s="7">
        <v>0.4646491460932658</v>
      </c>
      <c r="E21" s="9">
        <v>1633.5000000000014</v>
      </c>
      <c r="F21" s="22" t="s">
        <v>129</v>
      </c>
      <c r="G21" s="8" t="s">
        <v>156</v>
      </c>
      <c r="H21" s="24" t="s">
        <v>157</v>
      </c>
    </row>
    <row r="22" spans="1:8" x14ac:dyDescent="0.25">
      <c r="A22" s="4">
        <v>19</v>
      </c>
      <c r="B22" s="5" t="s">
        <v>47</v>
      </c>
      <c r="C22" s="5" t="s">
        <v>42</v>
      </c>
      <c r="D22" s="4">
        <v>0.5742407317638629</v>
      </c>
      <c r="E22" s="6">
        <v>1212.0599999999997</v>
      </c>
      <c r="F22" s="22" t="s">
        <v>129</v>
      </c>
      <c r="G22" s="5" t="s">
        <v>158</v>
      </c>
      <c r="H22" s="23" t="s">
        <v>159</v>
      </c>
    </row>
    <row r="23" spans="1:8" x14ac:dyDescent="0.25">
      <c r="A23" s="7">
        <v>20</v>
      </c>
      <c r="B23" s="8" t="s">
        <v>66</v>
      </c>
      <c r="C23" s="8" t="s">
        <v>62</v>
      </c>
      <c r="D23" s="7">
        <v>0.6483730224812658</v>
      </c>
      <c r="E23" s="9">
        <v>1055.7599999999993</v>
      </c>
      <c r="F23" s="22" t="s">
        <v>129</v>
      </c>
      <c r="G23" s="8" t="s">
        <v>160</v>
      </c>
      <c r="H23" s="24" t="s">
        <v>131</v>
      </c>
    </row>
    <row r="24" spans="1:8" x14ac:dyDescent="0.25">
      <c r="A24" s="4">
        <v>21</v>
      </c>
      <c r="B24" s="5" t="s">
        <v>50</v>
      </c>
      <c r="C24" s="5" t="s">
        <v>42</v>
      </c>
      <c r="D24" s="4">
        <v>0.6573175532546411</v>
      </c>
      <c r="E24" s="6">
        <v>1096.81</v>
      </c>
      <c r="F24" s="22" t="s">
        <v>129</v>
      </c>
      <c r="G24" s="5" t="s">
        <v>161</v>
      </c>
      <c r="H24" s="23" t="s">
        <v>162</v>
      </c>
    </row>
    <row r="25" spans="1:8" x14ac:dyDescent="0.25">
      <c r="A25" s="7">
        <v>22</v>
      </c>
      <c r="B25" s="8" t="s">
        <v>63</v>
      </c>
      <c r="C25" s="8" t="s">
        <v>62</v>
      </c>
      <c r="D25" s="7">
        <v>0.6667527040314651</v>
      </c>
      <c r="E25" s="9">
        <v>1084.52</v>
      </c>
      <c r="F25" s="22" t="s">
        <v>129</v>
      </c>
      <c r="G25" s="8" t="s">
        <v>163</v>
      </c>
      <c r="H25" s="24" t="s">
        <v>164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Sector Detail</vt:lpstr>
      <vt:lpstr>Dashboard</vt:lpstr>
      <vt:lpstr>Block Summary</vt:lpstr>
      <vt:lpstr>Transporter Analysis</vt:lpstr>
      <vt:lpstr>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MPSCSC Betul - Advanced Analytics System</dc:creator>
  <cp:lastModifiedBy>PDS Portal</cp:lastModifiedBy>
  <dcterms:created xsi:type="dcterms:W3CDTF">2026-09-19T16:52:11Z</dcterms:created>
  <dcterms:modified xsi:type="dcterms:W3CDTF">2026-09-19T16:52:11Z</dcterms:modified>
</cp:coreProperties>
</file>