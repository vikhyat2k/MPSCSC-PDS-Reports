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RICE Tr pur sale" sheetId="1" r:id="rId1"/>
    <sheet name="PADDY tR PUR SALE" sheetId="2" r:id="rId2"/>
    <sheet name="Sheet1" sheetId="3" r:id="rId3"/>
  </sheets>
  <definedNames>
    <definedName name="_xlnm.Print_Area" localSheetId="0">'RICE Tr pur sale'!$D$5:$Q$19</definedName>
    <definedName name="_xlnm.Print_Titles" localSheetId="0">'RICE Tr pur sale'!$3:$3</definedName>
  </definedNames>
  <calcPr calcId="124519"/>
</workbook>
</file>

<file path=xl/calcChain.xml><?xml version="1.0" encoding="utf-8"?>
<calcChain xmlns="http://schemas.openxmlformats.org/spreadsheetml/2006/main">
  <c r="I176" i="1"/>
  <c r="I177"/>
  <c r="I178"/>
  <c r="I179"/>
  <c r="I180"/>
  <c r="I181"/>
  <c r="I182"/>
  <c r="I175"/>
  <c r="N193"/>
  <c r="J253"/>
  <c r="J364"/>
  <c r="P183"/>
  <c r="I291"/>
  <c r="G291"/>
  <c r="J280"/>
  <c r="L10"/>
  <c r="P19"/>
  <c r="H381"/>
  <c r="L17"/>
  <c r="L15"/>
  <c r="L82"/>
  <c r="L80"/>
  <c r="L76"/>
  <c r="L70"/>
  <c r="L55"/>
  <c r="L50"/>
  <c r="N283"/>
  <c r="N282"/>
  <c r="G283"/>
  <c r="G281"/>
  <c r="G373"/>
  <c r="R185"/>
  <c r="R167"/>
  <c r="J175"/>
  <c r="E196"/>
  <c r="E190"/>
  <c r="L283"/>
  <c r="G381"/>
  <c r="J46"/>
  <c r="J95"/>
  <c r="P113"/>
  <c r="E46" l="1"/>
  <c r="P222"/>
  <c r="Q149"/>
  <c r="J243"/>
  <c r="F114" i="2" l="1"/>
  <c r="F113"/>
  <c r="F112"/>
  <c r="J106"/>
  <c r="H39"/>
  <c r="O38"/>
  <c r="N38"/>
  <c r="O37"/>
  <c r="F22"/>
  <c r="H21"/>
  <c r="N16"/>
  <c r="N106" s="1"/>
  <c r="O15"/>
  <c r="F10"/>
  <c r="F106" s="1"/>
  <c r="H9"/>
  <c r="P131" i="1"/>
  <c r="N334" l="1"/>
  <c r="P336" s="1"/>
  <c r="N335"/>
  <c r="G337"/>
  <c r="G336"/>
  <c r="G334"/>
  <c r="P346"/>
  <c r="J306" l="1"/>
  <c r="P162"/>
  <c r="Q162"/>
  <c r="Q161"/>
  <c r="Q174"/>
  <c r="Q164"/>
  <c r="J153"/>
  <c r="J154"/>
  <c r="P228"/>
  <c r="Q131"/>
  <c r="Q160"/>
  <c r="Q148"/>
  <c r="J225"/>
  <c r="J226"/>
  <c r="J227"/>
  <c r="Q227"/>
  <c r="Q130"/>
  <c r="J237"/>
  <c r="J236"/>
  <c r="O39" l="1"/>
  <c r="J150"/>
  <c r="Q345"/>
  <c r="Q346"/>
  <c r="P260" l="1"/>
  <c r="Q258" l="1"/>
  <c r="J339" l="1"/>
  <c r="J25"/>
  <c r="J182"/>
  <c r="P87"/>
  <c r="Q86"/>
  <c r="Q85"/>
  <c r="Q84"/>
  <c r="J24" l="1"/>
  <c r="Q259" l="1"/>
  <c r="Q257" l="1"/>
  <c r="Q83"/>
  <c r="J264"/>
  <c r="J265"/>
  <c r="J214" l="1"/>
  <c r="Q147"/>
  <c r="J222"/>
  <c r="Q159" l="1"/>
  <c r="Q82"/>
  <c r="Q129"/>
  <c r="J262"/>
  <c r="J261"/>
  <c r="J260"/>
  <c r="Q158" l="1"/>
  <c r="Q175"/>
  <c r="Q146"/>
  <c r="Q128"/>
  <c r="O103"/>
  <c r="J208"/>
  <c r="J207"/>
  <c r="J206"/>
  <c r="J205"/>
  <c r="J259" l="1"/>
  <c r="H375"/>
  <c r="N51"/>
  <c r="N48"/>
  <c r="S58"/>
  <c r="N58"/>
  <c r="Q58" s="1"/>
  <c r="N55"/>
  <c r="N53"/>
  <c r="N56"/>
  <c r="N54" l="1"/>
  <c r="N49"/>
  <c r="Q81"/>
  <c r="J48"/>
  <c r="J276"/>
  <c r="J275"/>
  <c r="J59"/>
  <c r="Q269"/>
  <c r="P270"/>
  <c r="P58" l="1"/>
  <c r="T58" s="1"/>
  <c r="Q222"/>
  <c r="S219"/>
  <c r="Q145"/>
  <c r="Q226"/>
  <c r="J230"/>
  <c r="J231"/>
  <c r="J232"/>
  <c r="P215" l="1"/>
  <c r="Q157" l="1"/>
  <c r="Q127"/>
  <c r="Q144"/>
  <c r="J179"/>
  <c r="J180"/>
  <c r="J181"/>
  <c r="J229"/>
  <c r="J221"/>
  <c r="Q214"/>
  <c r="Q215"/>
  <c r="Q80"/>
  <c r="Q221"/>
  <c r="Q143"/>
  <c r="J218"/>
  <c r="J219"/>
  <c r="J217"/>
  <c r="Q305"/>
  <c r="Q306"/>
  <c r="J116"/>
  <c r="J68"/>
  <c r="J274"/>
  <c r="Q304"/>
  <c r="Q303"/>
  <c r="P306"/>
  <c r="Q126"/>
  <c r="Q79"/>
  <c r="J305"/>
  <c r="J304"/>
  <c r="J303"/>
  <c r="J178"/>
  <c r="J204"/>
  <c r="J184" l="1"/>
  <c r="P163"/>
  <c r="P173"/>
  <c r="Q173"/>
  <c r="Q172"/>
  <c r="Q170"/>
  <c r="Q171"/>
  <c r="J115"/>
  <c r="Q324"/>
  <c r="Q113"/>
  <c r="Q142"/>
  <c r="Q125"/>
  <c r="Q57"/>
  <c r="J329"/>
  <c r="J330"/>
  <c r="J331"/>
  <c r="J332"/>
  <c r="J23" l="1"/>
  <c r="J302"/>
  <c r="J328"/>
  <c r="P285"/>
  <c r="Q284"/>
  <c r="Q283"/>
  <c r="Q282"/>
  <c r="Q156"/>
  <c r="Q124"/>
  <c r="Q78"/>
  <c r="L78" s="1"/>
  <c r="Q169"/>
  <c r="J285"/>
  <c r="J286"/>
  <c r="J287"/>
  <c r="J288"/>
  <c r="Q123" l="1"/>
  <c r="Q77"/>
  <c r="Q56"/>
  <c r="J272"/>
  <c r="J271"/>
  <c r="J270"/>
  <c r="Q256"/>
  <c r="Q344"/>
  <c r="J279"/>
  <c r="P245" l="1"/>
  <c r="P240" l="1"/>
  <c r="J177" l="1"/>
  <c r="J203"/>
  <c r="Q187"/>
  <c r="Q186"/>
  <c r="P187"/>
  <c r="Q141"/>
  <c r="Q122"/>
  <c r="J186"/>
  <c r="J185"/>
  <c r="S24" l="1"/>
  <c r="S25"/>
  <c r="S26"/>
  <c r="S28"/>
  <c r="S29"/>
  <c r="S30"/>
  <c r="S31"/>
  <c r="S32"/>
  <c r="S33"/>
  <c r="S34"/>
  <c r="S35"/>
  <c r="S36"/>
  <c r="S37"/>
  <c r="S38"/>
  <c r="S39"/>
  <c r="S40"/>
  <c r="S23"/>
  <c r="Q140" l="1"/>
  <c r="Q76"/>
  <c r="Q121"/>
  <c r="Q55"/>
  <c r="J335"/>
  <c r="J336"/>
  <c r="J337"/>
  <c r="J338"/>
  <c r="Q225"/>
  <c r="Q139"/>
  <c r="P150"/>
  <c r="J132"/>
  <c r="J241"/>
  <c r="J240"/>
  <c r="Q155"/>
  <c r="Q168"/>
  <c r="Q138"/>
  <c r="Q120"/>
  <c r="Q302"/>
  <c r="J314"/>
  <c r="J313"/>
  <c r="J312"/>
  <c r="J311"/>
  <c r="J310"/>
  <c r="P190" l="1"/>
  <c r="Q301" l="1"/>
  <c r="Q244"/>
  <c r="Q268"/>
  <c r="J255"/>
  <c r="J254"/>
  <c r="Q54" l="1"/>
  <c r="Q75"/>
  <c r="L75" s="1"/>
  <c r="J47"/>
  <c r="J176"/>
  <c r="Q150"/>
  <c r="Q343"/>
  <c r="Q74"/>
  <c r="Q154"/>
  <c r="Q53"/>
  <c r="J247"/>
  <c r="J248"/>
  <c r="J249"/>
  <c r="J250"/>
  <c r="J258" l="1"/>
  <c r="J327"/>
  <c r="J284"/>
  <c r="J269"/>
  <c r="J362"/>
  <c r="P66"/>
  <c r="Q59"/>
  <c r="Q60"/>
  <c r="L60" s="1"/>
  <c r="Q61"/>
  <c r="Q62"/>
  <c r="Q63"/>
  <c r="Q64"/>
  <c r="Q65"/>
  <c r="Q267"/>
  <c r="J5"/>
  <c r="J246"/>
  <c r="J283"/>
  <c r="J301"/>
  <c r="J309"/>
  <c r="J278"/>
  <c r="J267"/>
  <c r="J257"/>
  <c r="J252"/>
  <c r="J326"/>
  <c r="Q10"/>
  <c r="Q11"/>
  <c r="Q12"/>
  <c r="Q13"/>
  <c r="Q14"/>
  <c r="Q15"/>
  <c r="Q16"/>
  <c r="Q17"/>
  <c r="Q18"/>
  <c r="Q309"/>
  <c r="J282"/>
  <c r="J361"/>
  <c r="J216"/>
  <c r="J263"/>
  <c r="J256"/>
  <c r="J268"/>
  <c r="J245"/>
  <c r="J363"/>
  <c r="J251"/>
  <c r="J45"/>
  <c r="H192"/>
  <c r="J277"/>
  <c r="J334"/>
  <c r="J273"/>
  <c r="Q40"/>
  <c r="Q48"/>
  <c r="S48" s="1"/>
  <c r="Q39"/>
  <c r="Q38"/>
  <c r="Q37"/>
  <c r="Q36"/>
  <c r="Q35"/>
  <c r="Q34"/>
  <c r="Q33"/>
  <c r="Q32"/>
  <c r="Q31"/>
  <c r="N27"/>
  <c r="S27" s="1"/>
  <c r="Q30"/>
  <c r="Q29"/>
  <c r="Q28"/>
  <c r="P41" l="1"/>
  <c r="Q185"/>
  <c r="Q119"/>
  <c r="Q137"/>
  <c r="Q73"/>
  <c r="Q27"/>
  <c r="Q153"/>
  <c r="Q167"/>
  <c r="J202"/>
  <c r="J190"/>
  <c r="J191"/>
  <c r="J192"/>
  <c r="J193"/>
  <c r="J194"/>
  <c r="J195"/>
  <c r="J196"/>
  <c r="J239" l="1"/>
  <c r="J189"/>
  <c r="J215"/>
  <c r="J152"/>
  <c r="J114"/>
  <c r="J308"/>
  <c r="J325"/>
  <c r="J224"/>
  <c r="J281"/>
  <c r="J244"/>
  <c r="J201"/>
  <c r="J266"/>
  <c r="Q189"/>
  <c r="J300"/>
  <c r="J235"/>
  <c r="J333"/>
  <c r="Q98"/>
  <c r="Q99"/>
  <c r="Q100"/>
  <c r="Q101"/>
  <c r="Q102"/>
  <c r="Q103"/>
  <c r="Q104"/>
  <c r="Q105"/>
  <c r="Q106"/>
  <c r="Q107"/>
  <c r="Q108"/>
  <c r="Q109"/>
  <c r="Q110"/>
  <c r="Q111"/>
  <c r="Q112"/>
  <c r="Q281"/>
  <c r="Q266"/>
  <c r="J94"/>
  <c r="Q239"/>
  <c r="Q136"/>
  <c r="J233"/>
  <c r="J234"/>
  <c r="Q335" l="1"/>
  <c r="Q9"/>
  <c r="Q135"/>
  <c r="Q342"/>
  <c r="Q26"/>
  <c r="Q97"/>
  <c r="Q118"/>
  <c r="Q52"/>
  <c r="Q72"/>
  <c r="J373"/>
  <c r="J372"/>
  <c r="J371"/>
  <c r="J370"/>
  <c r="J369"/>
  <c r="J368"/>
  <c r="J367"/>
  <c r="J366"/>
  <c r="J365"/>
  <c r="Q96" l="1"/>
  <c r="Q341"/>
  <c r="Q334"/>
  <c r="Q51"/>
  <c r="J378"/>
  <c r="J377"/>
  <c r="J376"/>
  <c r="I381" s="1"/>
  <c r="J375"/>
  <c r="J349" l="1"/>
  <c r="J348"/>
  <c r="J347"/>
  <c r="Q71"/>
  <c r="Q25"/>
  <c r="Q340"/>
  <c r="J200" l="1"/>
  <c r="Q183"/>
  <c r="P184"/>
  <c r="Q184"/>
  <c r="J183"/>
  <c r="Q50" l="1"/>
  <c r="Q8"/>
  <c r="Q70"/>
  <c r="Q134"/>
  <c r="Q95"/>
  <c r="Q339"/>
  <c r="Q333"/>
  <c r="Q117"/>
  <c r="Q24"/>
  <c r="J359"/>
  <c r="J358"/>
  <c r="J357"/>
  <c r="J356"/>
  <c r="J355"/>
  <c r="J354"/>
  <c r="J353"/>
  <c r="J352"/>
  <c r="J351"/>
  <c r="J91" l="1"/>
  <c r="J90"/>
  <c r="J89"/>
  <c r="J88"/>
  <c r="J324"/>
  <c r="O381"/>
  <c r="G385" s="1"/>
  <c r="Q163"/>
  <c r="Q152"/>
  <c r="Q49"/>
  <c r="Q7"/>
  <c r="Q23"/>
  <c r="J323" l="1"/>
  <c r="Q289"/>
  <c r="Q166"/>
  <c r="Q209"/>
  <c r="Q116"/>
  <c r="Q133"/>
  <c r="Q69"/>
  <c r="L69" s="1"/>
  <c r="Q6"/>
  <c r="Q94"/>
  <c r="J297"/>
  <c r="J296"/>
  <c r="J295"/>
  <c r="J294"/>
  <c r="J293"/>
  <c r="J292"/>
  <c r="J291"/>
  <c r="J381" s="1"/>
  <c r="J290"/>
  <c r="J289"/>
  <c r="J223" l="1"/>
  <c r="J220"/>
  <c r="J228"/>
  <c r="Q212"/>
  <c r="Q211"/>
  <c r="Q210"/>
  <c r="P212"/>
  <c r="P381" s="1"/>
  <c r="Q224"/>
  <c r="Q220"/>
  <c r="Q115"/>
  <c r="Q132"/>
  <c r="J212"/>
  <c r="J211"/>
  <c r="J210"/>
  <c r="J209"/>
  <c r="Q375" l="1"/>
  <c r="Q308"/>
  <c r="Q68"/>
  <c r="Q300"/>
  <c r="Q165"/>
  <c r="Q114"/>
  <c r="Q5"/>
  <c r="J322"/>
  <c r="J321"/>
  <c r="J320"/>
  <c r="J319"/>
  <c r="J318"/>
  <c r="J317"/>
  <c r="J316"/>
  <c r="Q223" l="1"/>
  <c r="Q381" s="1"/>
  <c r="J242"/>
  <c r="T150"/>
  <c r="V132"/>
  <c r="G387" l="1"/>
  <c r="N381"/>
  <c r="G386" s="1"/>
</calcChain>
</file>

<file path=xl/sharedStrings.xml><?xml version="1.0" encoding="utf-8"?>
<sst xmlns="http://schemas.openxmlformats.org/spreadsheetml/2006/main" count="654" uniqueCount="164">
  <si>
    <t>TRANSFER PURCHASE</t>
  </si>
  <si>
    <t>TRANSFER SALES</t>
  </si>
  <si>
    <t>S.No</t>
  </si>
  <si>
    <t>Receiving Dist. Name</t>
  </si>
  <si>
    <t>Sender Dist. Name</t>
  </si>
  <si>
    <t>QTY OF TR. PURCHASE (As per Receiving Dist) प्राप्तकर्ता जिले के अनुसार मात्रा</t>
  </si>
  <si>
    <t>QTY. OF TRANSFER SALE (As per Sending Dist) भेजने वाले जिले के अनुसार मात्रा</t>
  </si>
  <si>
    <t>TOTAL</t>
  </si>
  <si>
    <t>DIFF.</t>
  </si>
  <si>
    <t>Total</t>
  </si>
  <si>
    <t>Diff</t>
  </si>
  <si>
    <t>JABALPUR</t>
  </si>
  <si>
    <t>BALAGHAT</t>
  </si>
  <si>
    <t>CHHINDWARA</t>
  </si>
  <si>
    <t>MANDLA</t>
  </si>
  <si>
    <t>NARSINGHPUR</t>
  </si>
  <si>
    <t>SEONI</t>
  </si>
  <si>
    <t>DINDORI</t>
  </si>
  <si>
    <t>HARDA</t>
  </si>
  <si>
    <t>BHOPAL</t>
  </si>
  <si>
    <t>RATLAM</t>
  </si>
  <si>
    <t>DHAR</t>
  </si>
  <si>
    <t>VIDISHA</t>
  </si>
  <si>
    <t>DAMOH</t>
  </si>
  <si>
    <t>KATNI</t>
  </si>
  <si>
    <t>SATNA</t>
  </si>
  <si>
    <t>REWA</t>
  </si>
  <si>
    <t>SIDHI/SINGRAULI</t>
  </si>
  <si>
    <t>SHAHDOL</t>
  </si>
  <si>
    <t>ANUPPUR</t>
  </si>
  <si>
    <t>UMARIA</t>
  </si>
  <si>
    <t>SAGAR</t>
  </si>
  <si>
    <t>PANNA</t>
  </si>
  <si>
    <t>CHHATARPUR</t>
  </si>
  <si>
    <t>GWALIOR</t>
  </si>
  <si>
    <t>MORENA</t>
  </si>
  <si>
    <t>BHIND</t>
  </si>
  <si>
    <t>SHIVPURI</t>
  </si>
  <si>
    <t>SHEOPUR</t>
  </si>
  <si>
    <t>GUNA</t>
  </si>
  <si>
    <t>ASHOKNAGAR</t>
  </si>
  <si>
    <t>DATIA</t>
  </si>
  <si>
    <t>INDORE</t>
  </si>
  <si>
    <t>KHANDWA</t>
  </si>
  <si>
    <t>KHARGONE</t>
  </si>
  <si>
    <t>JHABUA/ALIRAJPUR</t>
  </si>
  <si>
    <t>BARWANI</t>
  </si>
  <si>
    <t>BURHANPUR</t>
  </si>
  <si>
    <t>UJJAIN</t>
  </si>
  <si>
    <t>DEWAS</t>
  </si>
  <si>
    <t>MANDSAUR</t>
  </si>
  <si>
    <t>NEEMUCH</t>
  </si>
  <si>
    <t>SHAJAPUR/ AGAR</t>
  </si>
  <si>
    <t>HOSHANGABAD</t>
  </si>
  <si>
    <t>BETUL</t>
  </si>
  <si>
    <t>RAISEN</t>
  </si>
  <si>
    <t>RAJGARH</t>
  </si>
  <si>
    <t>SEHORE</t>
  </si>
  <si>
    <t>GRAND TOTAL</t>
  </si>
  <si>
    <t xml:space="preserve">Transfer Purchase </t>
  </si>
  <si>
    <t>Transfer Sales</t>
  </si>
  <si>
    <t>KMS CMR  2019-20</t>
  </si>
  <si>
    <t>Shivpuri</t>
  </si>
  <si>
    <t>Datia</t>
  </si>
  <si>
    <t>UMARIYA</t>
  </si>
  <si>
    <t xml:space="preserve">RATLAM </t>
  </si>
  <si>
    <t xml:space="preserve">SEONI </t>
  </si>
  <si>
    <t xml:space="preserve">SEHORE </t>
  </si>
  <si>
    <t>Neemuch</t>
  </si>
  <si>
    <t>REEWA</t>
  </si>
  <si>
    <t>Gwalior</t>
  </si>
  <si>
    <t xml:space="preserve">SHEOPUR </t>
  </si>
  <si>
    <t>katni</t>
  </si>
  <si>
    <t>Jabalpur</t>
  </si>
  <si>
    <t>Seoni</t>
  </si>
  <si>
    <t>Narsinghpur</t>
  </si>
  <si>
    <t>Rewa</t>
  </si>
  <si>
    <t>Satna</t>
  </si>
  <si>
    <t>Anoopur</t>
  </si>
  <si>
    <t>Mandla</t>
  </si>
  <si>
    <t>Umariya</t>
  </si>
  <si>
    <t>Dewas</t>
  </si>
  <si>
    <t>Shajapur</t>
  </si>
  <si>
    <t>Balaghat</t>
  </si>
  <si>
    <t>Dindori</t>
  </si>
  <si>
    <t xml:space="preserve">BALAGHAT </t>
  </si>
  <si>
    <t xml:space="preserve">JABALPUR </t>
  </si>
  <si>
    <t>Vidisha</t>
  </si>
  <si>
    <t>Damoh</t>
  </si>
  <si>
    <t>Tikamgarh/Niwadi</t>
  </si>
  <si>
    <t>Betul</t>
  </si>
  <si>
    <t>Sehore</t>
  </si>
  <si>
    <t>Katni</t>
  </si>
  <si>
    <t>Hoshangabad</t>
  </si>
  <si>
    <t>Bhopal</t>
  </si>
  <si>
    <t>Rajgarh</t>
  </si>
  <si>
    <t>Ashoknagar</t>
  </si>
  <si>
    <t>Guna</t>
  </si>
  <si>
    <t>Jhabua</t>
  </si>
  <si>
    <t>Ujjain</t>
  </si>
  <si>
    <t>Ratlam</t>
  </si>
  <si>
    <t>Morena</t>
  </si>
  <si>
    <t>Chhatarpur</t>
  </si>
  <si>
    <t>Tikamgarh</t>
  </si>
  <si>
    <t>Indore</t>
  </si>
  <si>
    <t>Shajapur/Agar malwa</t>
  </si>
  <si>
    <t>Mandsour</t>
  </si>
  <si>
    <t>Shahdol</t>
  </si>
  <si>
    <t>KAtni</t>
  </si>
  <si>
    <t>TIKAMGARH/Niwadi</t>
  </si>
  <si>
    <t>Chatarpur</t>
  </si>
  <si>
    <t>Barwani</t>
  </si>
  <si>
    <t>Burhanpur</t>
  </si>
  <si>
    <t>Chindwara</t>
  </si>
  <si>
    <t>Dhar</t>
  </si>
  <si>
    <t>Harda</t>
  </si>
  <si>
    <t>Khandwa</t>
  </si>
  <si>
    <t>Khargone</t>
  </si>
  <si>
    <t>Raisen</t>
  </si>
  <si>
    <t>JHABUA</t>
  </si>
  <si>
    <t>MANDSOUR</t>
  </si>
  <si>
    <t>SHAJAPUR</t>
  </si>
  <si>
    <t>HOSANGABAD</t>
  </si>
  <si>
    <t>SIDHI</t>
  </si>
  <si>
    <t>Umaria</t>
  </si>
  <si>
    <t>Panna</t>
  </si>
  <si>
    <t>Sagar</t>
  </si>
  <si>
    <t>AGAR/Shajapur</t>
  </si>
  <si>
    <t>ujjain</t>
  </si>
  <si>
    <t>mandla</t>
  </si>
  <si>
    <t>AGARMALWA/Shajapur</t>
  </si>
  <si>
    <t>Agarmalwa/Shajapur</t>
  </si>
  <si>
    <t>Bhind</t>
  </si>
  <si>
    <t>REwa</t>
  </si>
  <si>
    <t>Sheopur</t>
  </si>
  <si>
    <t>Shahjapur</t>
  </si>
  <si>
    <t xml:space="preserve">MANDSAUR </t>
  </si>
  <si>
    <t>Sidhi/Singrouli</t>
  </si>
  <si>
    <t>SHivpuri</t>
  </si>
  <si>
    <t>KMS PADDY   2019-20</t>
  </si>
  <si>
    <t>DISTRICT</t>
  </si>
  <si>
    <t>SENDER DISTRICT</t>
  </si>
  <si>
    <t>QTY OF TR. PURCHASE</t>
  </si>
  <si>
    <t>QTY. OF TRANSFER SALE</t>
  </si>
  <si>
    <t>Sender District</t>
  </si>
  <si>
    <t>Receiving district</t>
  </si>
  <si>
    <t>Qty of Tr Sales</t>
  </si>
  <si>
    <t>Qty of Tr Pur</t>
  </si>
  <si>
    <t>Chhindwara</t>
  </si>
  <si>
    <t>Narsingpur</t>
  </si>
  <si>
    <t>Sidhi/Singrolii</t>
  </si>
  <si>
    <t>Sidhi</t>
  </si>
  <si>
    <t>Anuppur</t>
  </si>
  <si>
    <t xml:space="preserve"> Sagar</t>
  </si>
  <si>
    <t>guna</t>
  </si>
  <si>
    <t>Askok Nagar</t>
  </si>
  <si>
    <t>Jhabua/alirajpur</t>
  </si>
  <si>
    <t>Rajgarh/Biora</t>
  </si>
  <si>
    <t xml:space="preserve">      </t>
  </si>
  <si>
    <t>shri a.l.pawar  mandsour se bat ki. Date 07.08.25 to resolve by tomarrow</t>
  </si>
  <si>
    <t>Narmadapuram</t>
  </si>
  <si>
    <t>TRANSFER SALES  KMS CMR  2019-20</t>
  </si>
  <si>
    <t>% shortage</t>
  </si>
  <si>
    <r>
      <t>QTY. OF TRANSFER SALE (As per Sending Dist)</t>
    </r>
    <r>
      <rPr>
        <b/>
        <sz val="14"/>
        <color rgb="FFFF0000"/>
        <rFont val="Calibri"/>
        <family val="2"/>
        <scheme val="minor"/>
      </rPr>
      <t xml:space="preserve"> भेजने वाले जिले के अनुसार मात्रा</t>
    </r>
  </si>
</sst>
</file>

<file path=xl/styles.xml><?xml version="1.0" encoding="utf-8"?>
<styleSheet xmlns="http://schemas.openxmlformats.org/spreadsheetml/2006/main">
  <numFmts count="8">
    <numFmt numFmtId="43" formatCode="_(* #,##0.00_);_(* \(#,##0.00\);_(* &quot;-&quot;??_);_(@_)"/>
    <numFmt numFmtId="164" formatCode="0.0000000"/>
    <numFmt numFmtId="165" formatCode="0.000"/>
    <numFmt numFmtId="166" formatCode="0.00000000"/>
    <numFmt numFmtId="167" formatCode="0.00000"/>
    <numFmt numFmtId="168" formatCode="0.0000"/>
    <numFmt numFmtId="169" formatCode="0.000000"/>
    <numFmt numFmtId="170" formatCode="0.0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8"/>
      <name val="Arial"/>
      <family val="2"/>
    </font>
    <font>
      <b/>
      <u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4"/>
      <name val="Cambria"/>
      <family val="1"/>
      <scheme val="major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Times New Roman"/>
      <family val="1"/>
    </font>
    <font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/>
  </cellStyleXfs>
  <cellXfs count="190">
    <xf numFmtId="0" fontId="0" fillId="0" borderId="0" xfId="0"/>
    <xf numFmtId="0" fontId="0" fillId="0" borderId="0" xfId="0" applyFill="1"/>
    <xf numFmtId="0" fontId="0" fillId="0" borderId="5" xfId="0" applyFill="1" applyBorder="1"/>
    <xf numFmtId="0" fontId="4" fillId="0" borderId="5" xfId="0" applyFont="1" applyFill="1" applyBorder="1"/>
    <xf numFmtId="0" fontId="5" fillId="0" borderId="5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wrapText="1"/>
    </xf>
    <xf numFmtId="0" fontId="5" fillId="0" borderId="5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0" fillId="0" borderId="5" xfId="0" applyBorder="1"/>
    <xf numFmtId="0" fontId="7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2" fontId="8" fillId="0" borderId="5" xfId="0" applyNumberFormat="1" applyFont="1" applyBorder="1"/>
    <xf numFmtId="2" fontId="0" fillId="0" borderId="0" xfId="0" applyNumberFormat="1"/>
    <xf numFmtId="0" fontId="8" fillId="0" borderId="5" xfId="0" applyFont="1" applyFill="1" applyBorder="1"/>
    <xf numFmtId="2" fontId="9" fillId="0" borderId="5" xfId="0" applyNumberFormat="1" applyFont="1" applyFill="1" applyBorder="1"/>
    <xf numFmtId="2" fontId="4" fillId="0" borderId="5" xfId="0" applyNumberFormat="1" applyFont="1" applyFill="1" applyBorder="1"/>
    <xf numFmtId="2" fontId="6" fillId="0" borderId="6" xfId="0" applyNumberFormat="1" applyFont="1" applyBorder="1" applyAlignment="1">
      <alignment horizontal="center" vertical="top"/>
    </xf>
    <xf numFmtId="2" fontId="0" fillId="0" borderId="0" xfId="0" applyNumberFormat="1" applyFill="1"/>
    <xf numFmtId="166" fontId="0" fillId="0" borderId="0" xfId="0" applyNumberFormat="1" applyFill="1"/>
    <xf numFmtId="2" fontId="8" fillId="0" borderId="5" xfId="0" applyNumberFormat="1" applyFont="1" applyFill="1" applyBorder="1"/>
    <xf numFmtId="164" fontId="9" fillId="0" borderId="5" xfId="0" applyNumberFormat="1" applyFont="1" applyFill="1" applyBorder="1"/>
    <xf numFmtId="0" fontId="10" fillId="0" borderId="5" xfId="0" applyFont="1" applyFill="1" applyBorder="1" applyAlignment="1">
      <alignment horizontal="left"/>
    </xf>
    <xf numFmtId="165" fontId="11" fillId="0" borderId="0" xfId="0" applyNumberFormat="1" applyFont="1" applyFill="1" applyAlignment="1">
      <alignment vertical="center"/>
    </xf>
    <xf numFmtId="165" fontId="0" fillId="0" borderId="0" xfId="0" applyNumberFormat="1"/>
    <xf numFmtId="0" fontId="15" fillId="0" borderId="5" xfId="0" applyFont="1" applyBorder="1" applyAlignment="1">
      <alignment horizontal="center"/>
    </xf>
    <xf numFmtId="0" fontId="11" fillId="0" borderId="0" xfId="0" applyFont="1" applyFill="1"/>
    <xf numFmtId="0" fontId="11" fillId="0" borderId="0" xfId="0" applyFont="1"/>
    <xf numFmtId="2" fontId="10" fillId="0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1" fillId="0" borderId="5" xfId="0" applyFont="1" applyFill="1" applyBorder="1"/>
    <xf numFmtId="0" fontId="4" fillId="0" borderId="5" xfId="0" applyFont="1" applyBorder="1" applyAlignment="1">
      <alignment horizontal="left"/>
    </xf>
    <xf numFmtId="0" fontId="8" fillId="0" borderId="5" xfId="0" applyFont="1" applyFill="1" applyBorder="1" applyAlignment="1">
      <alignment horizontal="center"/>
    </xf>
    <xf numFmtId="165" fontId="8" fillId="0" borderId="5" xfId="0" applyNumberFormat="1" applyFont="1" applyFill="1" applyBorder="1"/>
    <xf numFmtId="165" fontId="9" fillId="0" borderId="5" xfId="0" applyNumberFormat="1" applyFont="1" applyFill="1" applyBorder="1" applyAlignment="1">
      <alignment horizontal="center"/>
    </xf>
    <xf numFmtId="2" fontId="10" fillId="0" borderId="5" xfId="0" applyNumberFormat="1" applyFont="1" applyFill="1" applyBorder="1"/>
    <xf numFmtId="0" fontId="13" fillId="0" borderId="5" xfId="0" applyFont="1" applyFill="1" applyBorder="1"/>
    <xf numFmtId="0" fontId="7" fillId="0" borderId="5" xfId="0" applyFont="1" applyFill="1" applyBorder="1"/>
    <xf numFmtId="0" fontId="12" fillId="0" borderId="5" xfId="0" applyFont="1" applyFill="1" applyBorder="1"/>
    <xf numFmtId="165" fontId="9" fillId="0" borderId="5" xfId="0" applyNumberFormat="1" applyFont="1" applyFill="1" applyBorder="1"/>
    <xf numFmtId="0" fontId="14" fillId="0" borderId="5" xfId="0" applyFont="1" applyFill="1" applyBorder="1"/>
    <xf numFmtId="167" fontId="10" fillId="0" borderId="7" xfId="0" applyNumberFormat="1" applyFont="1" applyBorder="1"/>
    <xf numFmtId="167" fontId="10" fillId="0" borderId="7" xfId="0" applyNumberFormat="1" applyFont="1" applyFill="1" applyBorder="1"/>
    <xf numFmtId="167" fontId="10" fillId="0" borderId="0" xfId="0" applyNumberFormat="1" applyFont="1" applyFill="1" applyBorder="1"/>
    <xf numFmtId="43" fontId="14" fillId="0" borderId="8" xfId="0" applyNumberFormat="1" applyFont="1" applyFill="1" applyBorder="1" applyAlignment="1">
      <alignment vertical="center"/>
    </xf>
    <xf numFmtId="0" fontId="1" fillId="0" borderId="0" xfId="0" applyFont="1" applyFill="1" applyBorder="1"/>
    <xf numFmtId="2" fontId="6" fillId="0" borderId="5" xfId="0" applyNumberFormat="1" applyFont="1" applyFill="1" applyBorder="1"/>
    <xf numFmtId="0" fontId="4" fillId="0" borderId="6" xfId="0" applyFont="1" applyBorder="1"/>
    <xf numFmtId="2" fontId="8" fillId="0" borderId="0" xfId="0" applyNumberFormat="1" applyFont="1" applyFill="1" applyBorder="1"/>
    <xf numFmtId="0" fontId="9" fillId="2" borderId="5" xfId="0" applyFont="1" applyFill="1" applyBorder="1" applyAlignment="1">
      <alignment vertical="center" wrapText="1"/>
    </xf>
    <xf numFmtId="2" fontId="8" fillId="2" borderId="5" xfId="0" applyNumberFormat="1" applyFont="1" applyFill="1" applyBorder="1"/>
    <xf numFmtId="165" fontId="8" fillId="2" borderId="5" xfId="0" applyNumberFormat="1" applyFont="1" applyFill="1" applyBorder="1"/>
    <xf numFmtId="2" fontId="9" fillId="2" borderId="5" xfId="0" applyNumberFormat="1" applyFont="1" applyFill="1" applyBorder="1"/>
    <xf numFmtId="0" fontId="8" fillId="2" borderId="5" xfId="0" applyFont="1" applyFill="1" applyBorder="1"/>
    <xf numFmtId="0" fontId="14" fillId="2" borderId="5" xfId="0" applyFont="1" applyFill="1" applyBorder="1"/>
    <xf numFmtId="2" fontId="6" fillId="2" borderId="5" xfId="0" applyNumberFormat="1" applyFont="1" applyFill="1" applyBorder="1"/>
    <xf numFmtId="165" fontId="9" fillId="2" borderId="5" xfId="0" applyNumberFormat="1" applyFont="1" applyFill="1" applyBorder="1"/>
    <xf numFmtId="2" fontId="6" fillId="0" borderId="0" xfId="0" applyNumberFormat="1" applyFont="1" applyFill="1" applyBorder="1"/>
    <xf numFmtId="2" fontId="10" fillId="2" borderId="5" xfId="0" applyNumberFormat="1" applyFont="1" applyFill="1" applyBorder="1" applyAlignment="1">
      <alignment horizontal="right"/>
    </xf>
    <xf numFmtId="167" fontId="10" fillId="0" borderId="0" xfId="0" applyNumberFormat="1" applyFont="1" applyBorder="1"/>
    <xf numFmtId="43" fontId="14" fillId="0" borderId="0" xfId="0" applyNumberFormat="1" applyFont="1" applyFill="1" applyBorder="1" applyAlignment="1">
      <alignment vertical="center"/>
    </xf>
    <xf numFmtId="0" fontId="0" fillId="2" borderId="0" xfId="0" applyFill="1"/>
    <xf numFmtId="0" fontId="10" fillId="2" borderId="5" xfId="0" applyFont="1" applyFill="1" applyBorder="1" applyAlignment="1">
      <alignment horizontal="left"/>
    </xf>
    <xf numFmtId="0" fontId="8" fillId="3" borderId="5" xfId="0" applyFont="1" applyFill="1" applyBorder="1"/>
    <xf numFmtId="2" fontId="8" fillId="3" borderId="5" xfId="0" applyNumberFormat="1" applyFont="1" applyFill="1" applyBorder="1"/>
    <xf numFmtId="2" fontId="9" fillId="3" borderId="5" xfId="0" applyNumberFormat="1" applyFont="1" applyFill="1" applyBorder="1"/>
    <xf numFmtId="2" fontId="6" fillId="3" borderId="5" xfId="0" applyNumberFormat="1" applyFont="1" applyFill="1" applyBorder="1"/>
    <xf numFmtId="165" fontId="9" fillId="3" borderId="5" xfId="0" applyNumberFormat="1" applyFont="1" applyFill="1" applyBorder="1"/>
    <xf numFmtId="165" fontId="8" fillId="3" borderId="5" xfId="0" applyNumberFormat="1" applyFont="1" applyFill="1" applyBorder="1"/>
    <xf numFmtId="168" fontId="0" fillId="0" borderId="5" xfId="0" applyNumberFormat="1" applyBorder="1"/>
    <xf numFmtId="0" fontId="10" fillId="3" borderId="5" xfId="0" applyFont="1" applyFill="1" applyBorder="1" applyAlignment="1">
      <alignment horizontal="left"/>
    </xf>
    <xf numFmtId="2" fontId="8" fillId="0" borderId="0" xfId="0" applyNumberFormat="1" applyFont="1" applyBorder="1"/>
    <xf numFmtId="0" fontId="8" fillId="2" borderId="5" xfId="0" applyFont="1" applyFill="1" applyBorder="1" applyAlignment="1">
      <alignment horizontal="center"/>
    </xf>
    <xf numFmtId="2" fontId="10" fillId="3" borderId="5" xfId="0" applyNumberFormat="1" applyFont="1" applyFill="1" applyBorder="1" applyAlignment="1">
      <alignment horizontal="right"/>
    </xf>
    <xf numFmtId="165" fontId="6" fillId="0" borderId="5" xfId="0" applyNumberFormat="1" applyFont="1" applyFill="1" applyBorder="1"/>
    <xf numFmtId="0" fontId="1" fillId="2" borderId="5" xfId="0" applyFont="1" applyFill="1" applyBorder="1"/>
    <xf numFmtId="0" fontId="1" fillId="3" borderId="5" xfId="0" applyFont="1" applyFill="1" applyBorder="1"/>
    <xf numFmtId="4" fontId="0" fillId="0" borderId="5" xfId="0" applyNumberFormat="1" applyBorder="1"/>
    <xf numFmtId="165" fontId="14" fillId="0" borderId="2" xfId="1" applyNumberFormat="1" applyFont="1" applyBorder="1"/>
    <xf numFmtId="167" fontId="0" fillId="0" borderId="0" xfId="0" applyNumberFormat="1"/>
    <xf numFmtId="2" fontId="10" fillId="2" borderId="5" xfId="0" applyNumberFormat="1" applyFont="1" applyFill="1" applyBorder="1"/>
    <xf numFmtId="2" fontId="10" fillId="3" borderId="5" xfId="0" applyNumberFormat="1" applyFont="1" applyFill="1" applyBorder="1"/>
    <xf numFmtId="164" fontId="0" fillId="0" borderId="0" xfId="0" applyNumberFormat="1" applyFill="1"/>
    <xf numFmtId="43" fontId="14" fillId="2" borderId="8" xfId="0" applyNumberFormat="1" applyFont="1" applyFill="1" applyBorder="1" applyAlignment="1">
      <alignment vertical="center"/>
    </xf>
    <xf numFmtId="168" fontId="8" fillId="3" borderId="5" xfId="0" applyNumberFormat="1" applyFont="1" applyFill="1" applyBorder="1"/>
    <xf numFmtId="2" fontId="4" fillId="2" borderId="5" xfId="0" applyNumberFormat="1" applyFont="1" applyFill="1" applyBorder="1"/>
    <xf numFmtId="2" fontId="18" fillId="4" borderId="9" xfId="0" applyNumberFormat="1" applyFont="1" applyFill="1" applyBorder="1"/>
    <xf numFmtId="0" fontId="19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Fill="1"/>
    <xf numFmtId="169" fontId="9" fillId="2" borderId="5" xfId="0" applyNumberFormat="1" applyFont="1" applyFill="1" applyBorder="1"/>
    <xf numFmtId="2" fontId="16" fillId="2" borderId="5" xfId="1" applyNumberFormat="1" applyFont="1" applyFill="1" applyBorder="1" applyAlignment="1">
      <alignment horizontal="center" vertical="center"/>
    </xf>
    <xf numFmtId="165" fontId="11" fillId="2" borderId="5" xfId="0" applyNumberFormat="1" applyFont="1" applyFill="1" applyBorder="1" applyAlignment="1">
      <alignment vertical="center"/>
    </xf>
    <xf numFmtId="2" fontId="8" fillId="2" borderId="0" xfId="0" applyNumberFormat="1" applyFont="1" applyFill="1" applyBorder="1"/>
    <xf numFmtId="167" fontId="0" fillId="2" borderId="0" xfId="0" applyNumberFormat="1" applyFill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/>
    <xf numFmtId="0" fontId="5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6" fillId="0" borderId="5" xfId="0" applyFont="1" applyBorder="1"/>
    <xf numFmtId="0" fontId="20" fillId="0" borderId="5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8" fillId="0" borderId="5" xfId="0" applyFont="1" applyBorder="1"/>
    <xf numFmtId="2" fontId="9" fillId="0" borderId="5" xfId="0" applyNumberFormat="1" applyFont="1" applyBorder="1"/>
    <xf numFmtId="2" fontId="0" fillId="0" borderId="5" xfId="0" applyNumberFormat="1" applyBorder="1"/>
    <xf numFmtId="0" fontId="10" fillId="0" borderId="5" xfId="0" applyFont="1" applyBorder="1" applyAlignment="1">
      <alignment horizontal="left"/>
    </xf>
    <xf numFmtId="2" fontId="10" fillId="0" borderId="5" xfId="0" applyNumberFormat="1" applyFont="1" applyBorder="1" applyAlignment="1">
      <alignment horizontal="right"/>
    </xf>
    <xf numFmtId="0" fontId="0" fillId="0" borderId="6" xfId="0" applyBorder="1"/>
    <xf numFmtId="0" fontId="8" fillId="0" borderId="6" xfId="0" applyFont="1" applyBorder="1"/>
    <xf numFmtId="0" fontId="9" fillId="0" borderId="10" xfId="0" applyFont="1" applyBorder="1" applyAlignment="1">
      <alignment vertical="center" wrapText="1"/>
    </xf>
    <xf numFmtId="2" fontId="8" fillId="0" borderId="0" xfId="0" applyNumberFormat="1" applyFont="1"/>
    <xf numFmtId="2" fontId="9" fillId="0" borderId="10" xfId="0" applyNumberFormat="1" applyFont="1" applyBorder="1"/>
    <xf numFmtId="0" fontId="11" fillId="0" borderId="10" xfId="0" applyFont="1" applyBorder="1"/>
    <xf numFmtId="0" fontId="17" fillId="0" borderId="10" xfId="0" applyFont="1" applyBorder="1"/>
    <xf numFmtId="165" fontId="10" fillId="0" borderId="5" xfId="0" applyNumberFormat="1" applyFont="1" applyBorder="1"/>
    <xf numFmtId="2" fontId="13" fillId="0" borderId="5" xfId="0" applyNumberFormat="1" applyFont="1" applyBorder="1" applyAlignment="1">
      <alignment horizontal="right" vertical="center" wrapText="1"/>
    </xf>
    <xf numFmtId="2" fontId="8" fillId="0" borderId="6" xfId="0" applyNumberFormat="1" applyFont="1" applyBorder="1"/>
    <xf numFmtId="165" fontId="9" fillId="0" borderId="5" xfId="0" applyNumberFormat="1" applyFont="1" applyBorder="1"/>
    <xf numFmtId="2" fontId="22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/>
    </xf>
    <xf numFmtId="0" fontId="8" fillId="0" borderId="11" xfId="0" applyFont="1" applyBorder="1"/>
    <xf numFmtId="0" fontId="8" fillId="0" borderId="0" xfId="0" applyFont="1"/>
    <xf numFmtId="2" fontId="10" fillId="0" borderId="0" xfId="0" applyNumberFormat="1" applyFont="1"/>
    <xf numFmtId="0" fontId="1" fillId="0" borderId="5" xfId="0" applyFont="1" applyBorder="1"/>
    <xf numFmtId="0" fontId="10" fillId="0" borderId="5" xfId="1" applyFont="1" applyBorder="1"/>
    <xf numFmtId="0" fontId="11" fillId="0" borderId="5" xfId="0" applyFont="1" applyBorder="1"/>
    <xf numFmtId="2" fontId="1" fillId="0" borderId="5" xfId="0" applyNumberFormat="1" applyFont="1" applyBorder="1"/>
    <xf numFmtId="0" fontId="10" fillId="0" borderId="5" xfId="0" applyFont="1" applyBorder="1"/>
    <xf numFmtId="168" fontId="0" fillId="0" borderId="0" xfId="0" applyNumberFormat="1"/>
    <xf numFmtId="2" fontId="4" fillId="3" borderId="5" xfId="0" applyNumberFormat="1" applyFont="1" applyFill="1" applyBorder="1"/>
    <xf numFmtId="0" fontId="13" fillId="3" borderId="5" xfId="0" applyFont="1" applyFill="1" applyBorder="1"/>
    <xf numFmtId="0" fontId="1" fillId="0" borderId="0" xfId="0" applyFont="1" applyFill="1"/>
    <xf numFmtId="2" fontId="8" fillId="5" borderId="5" xfId="0" applyNumberFormat="1" applyFont="1" applyFill="1" applyBorder="1"/>
    <xf numFmtId="2" fontId="10" fillId="5" borderId="5" xfId="0" applyNumberFormat="1" applyFont="1" applyFill="1" applyBorder="1" applyAlignment="1">
      <alignment horizontal="right"/>
    </xf>
    <xf numFmtId="165" fontId="9" fillId="5" borderId="5" xfId="0" applyNumberFormat="1" applyFont="1" applyFill="1" applyBorder="1"/>
    <xf numFmtId="2" fontId="9" fillId="5" borderId="5" xfId="0" applyNumberFormat="1" applyFont="1" applyFill="1" applyBorder="1"/>
    <xf numFmtId="165" fontId="23" fillId="2" borderId="5" xfId="0" applyNumberFormat="1" applyFont="1" applyFill="1" applyBorder="1" applyAlignment="1">
      <alignment vertical="center"/>
    </xf>
    <xf numFmtId="0" fontId="8" fillId="5" borderId="5" xfId="0" applyFont="1" applyFill="1" applyBorder="1"/>
    <xf numFmtId="2" fontId="8" fillId="5" borderId="0" xfId="0" applyNumberFormat="1" applyFont="1" applyFill="1" applyBorder="1"/>
    <xf numFmtId="165" fontId="8" fillId="5" borderId="5" xfId="0" applyNumberFormat="1" applyFont="1" applyFill="1" applyBorder="1"/>
    <xf numFmtId="168" fontId="9" fillId="5" borderId="5" xfId="0" applyNumberFormat="1" applyFont="1" applyFill="1" applyBorder="1"/>
    <xf numFmtId="168" fontId="8" fillId="5" borderId="5" xfId="0" applyNumberFormat="1" applyFont="1" applyFill="1" applyBorder="1"/>
    <xf numFmtId="2" fontId="6" fillId="5" borderId="5" xfId="0" applyNumberFormat="1" applyFont="1" applyFill="1" applyBorder="1"/>
    <xf numFmtId="0" fontId="8" fillId="5" borderId="5" xfId="0" applyFont="1" applyFill="1" applyBorder="1" applyAlignment="1">
      <alignment wrapText="1"/>
    </xf>
    <xf numFmtId="0" fontId="8" fillId="5" borderId="0" xfId="0" applyFont="1" applyFill="1"/>
    <xf numFmtId="0" fontId="13" fillId="2" borderId="5" xfId="0" applyFont="1" applyFill="1" applyBorder="1"/>
    <xf numFmtId="165" fontId="10" fillId="5" borderId="5" xfId="0" applyNumberFormat="1" applyFont="1" applyFill="1" applyBorder="1" applyAlignment="1">
      <alignment horizontal="right"/>
    </xf>
    <xf numFmtId="0" fontId="8" fillId="4" borderId="5" xfId="0" applyFont="1" applyFill="1" applyBorder="1"/>
    <xf numFmtId="0" fontId="0" fillId="5" borderId="0" xfId="0" applyFill="1"/>
    <xf numFmtId="0" fontId="10" fillId="5" borderId="5" xfId="0" applyFont="1" applyFill="1" applyBorder="1" applyAlignment="1">
      <alignment horizontal="left"/>
    </xf>
    <xf numFmtId="2" fontId="0" fillId="5" borderId="5" xfId="0" applyNumberFormat="1" applyFill="1" applyBorder="1" applyAlignment="1"/>
    <xf numFmtId="0" fontId="9" fillId="5" borderId="5" xfId="0" applyFont="1" applyFill="1" applyBorder="1" applyAlignment="1">
      <alignment vertical="center" wrapText="1"/>
    </xf>
    <xf numFmtId="0" fontId="17" fillId="5" borderId="5" xfId="0" applyFont="1" applyFill="1" applyBorder="1" applyAlignment="1">
      <alignment horizontal="center"/>
    </xf>
    <xf numFmtId="165" fontId="24" fillId="2" borderId="5" xfId="0" applyNumberFormat="1" applyFont="1" applyFill="1" applyBorder="1"/>
    <xf numFmtId="0" fontId="4" fillId="2" borderId="5" xfId="0" applyFont="1" applyFill="1" applyBorder="1" applyAlignment="1">
      <alignment horizontal="center"/>
    </xf>
    <xf numFmtId="0" fontId="4" fillId="2" borderId="5" xfId="0" applyFont="1" applyFill="1" applyBorder="1"/>
    <xf numFmtId="2" fontId="24" fillId="5" borderId="5" xfId="0" applyNumberFormat="1" applyFont="1" applyFill="1" applyBorder="1"/>
    <xf numFmtId="2" fontId="15" fillId="2" borderId="5" xfId="0" applyNumberFormat="1" applyFont="1" applyFill="1" applyBorder="1" applyAlignment="1"/>
    <xf numFmtId="0" fontId="25" fillId="0" borderId="0" xfId="0" applyFont="1" applyFill="1"/>
    <xf numFmtId="0" fontId="0" fillId="2" borderId="0" xfId="0" applyFill="1" applyAlignment="1">
      <alignment horizontal="left"/>
    </xf>
    <xf numFmtId="0" fontId="9" fillId="3" borderId="5" xfId="0" applyFont="1" applyFill="1" applyBorder="1"/>
    <xf numFmtId="2" fontId="8" fillId="4" borderId="5" xfId="0" applyNumberFormat="1" applyFont="1" applyFill="1" applyBorder="1"/>
    <xf numFmtId="0" fontId="11" fillId="2" borderId="0" xfId="0" applyFont="1" applyFill="1" applyAlignment="1">
      <alignment vertical="center"/>
    </xf>
    <xf numFmtId="170" fontId="4" fillId="0" borderId="5" xfId="0" applyNumberFormat="1" applyFont="1" applyBorder="1"/>
    <xf numFmtId="165" fontId="4" fillId="0" borderId="5" xfId="0" applyNumberFormat="1" applyFont="1" applyBorder="1"/>
    <xf numFmtId="165" fontId="4" fillId="0" borderId="5" xfId="0" applyNumberFormat="1" applyFont="1" applyBorder="1" applyAlignment="1">
      <alignment horizontal="left"/>
    </xf>
    <xf numFmtId="2" fontId="6" fillId="4" borderId="5" xfId="0" applyNumberFormat="1" applyFont="1" applyFill="1" applyBorder="1"/>
    <xf numFmtId="2" fontId="6" fillId="4" borderId="0" xfId="0" applyNumberFormat="1" applyFont="1" applyFill="1" applyBorder="1"/>
    <xf numFmtId="0" fontId="1" fillId="4" borderId="0" xfId="0" applyFont="1" applyFill="1"/>
    <xf numFmtId="0" fontId="0" fillId="4" borderId="0" xfId="0" applyFill="1"/>
    <xf numFmtId="165" fontId="6" fillId="4" borderId="5" xfId="0" applyNumberFormat="1" applyFont="1" applyFill="1" applyBorder="1"/>
    <xf numFmtId="168" fontId="6" fillId="4" borderId="5" xfId="0" applyNumberFormat="1" applyFont="1" applyFill="1" applyBorder="1"/>
    <xf numFmtId="0" fontId="1" fillId="4" borderId="5" xfId="0" applyFont="1" applyFill="1" applyBorder="1"/>
    <xf numFmtId="168" fontId="4" fillId="4" borderId="5" xfId="0" applyNumberFormat="1" applyFont="1" applyFill="1" applyBorder="1"/>
    <xf numFmtId="165" fontId="24" fillId="5" borderId="5" xfId="0" applyNumberFormat="1" applyFont="1" applyFill="1" applyBorder="1"/>
    <xf numFmtId="0" fontId="5" fillId="2" borderId="5" xfId="0" applyFont="1" applyFill="1" applyBorder="1" applyAlignment="1">
      <alignment horizontal="center" wrapText="1"/>
    </xf>
    <xf numFmtId="2" fontId="14" fillId="5" borderId="5" xfId="0" applyNumberFormat="1" applyFont="1" applyFill="1" applyBorder="1"/>
    <xf numFmtId="2" fontId="1" fillId="5" borderId="0" xfId="0" applyNumberFormat="1" applyFont="1" applyFill="1"/>
    <xf numFmtId="0" fontId="26" fillId="0" borderId="5" xfId="0" applyFont="1" applyBorder="1"/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V394"/>
  <sheetViews>
    <sheetView tabSelected="1" zoomScale="90" zoomScaleNormal="90" workbookViewId="0">
      <pane xSplit="5" ySplit="3" topLeftCell="F181" activePane="bottomRight" state="frozen"/>
      <selection pane="topRight" activeCell="F1" sqref="F1"/>
      <selection pane="bottomLeft" activeCell="A4" sqref="A4"/>
      <selection pane="bottomRight" activeCell="E194" sqref="E194"/>
    </sheetView>
  </sheetViews>
  <sheetFormatPr defaultRowHeight="15"/>
  <cols>
    <col min="1" max="1" width="2.7109375" customWidth="1"/>
    <col min="2" max="2" width="3.85546875" customWidth="1"/>
    <col min="3" max="3" width="0.5703125" customWidth="1"/>
    <col min="4" max="4" width="5.28515625" customWidth="1"/>
    <col min="5" max="5" width="16.5703125" customWidth="1"/>
    <col min="6" max="6" width="18.85546875" style="1" customWidth="1"/>
    <col min="7" max="7" width="17.7109375" style="1" customWidth="1"/>
    <col min="8" max="8" width="18.42578125" style="1" customWidth="1"/>
    <col min="9" max="9" width="15.42578125" style="1" customWidth="1"/>
    <col min="10" max="10" width="14.42578125" style="1" customWidth="1"/>
    <col min="11" max="11" width="5.85546875" customWidth="1"/>
    <col min="12" max="12" width="14.7109375" customWidth="1"/>
    <col min="13" max="13" width="28.42578125" customWidth="1"/>
    <col min="14" max="14" width="21.42578125" customWidth="1"/>
    <col min="15" max="15" width="18.28515625" customWidth="1"/>
    <col min="16" max="16" width="15.140625" customWidth="1"/>
    <col min="17" max="17" width="15.42578125" customWidth="1"/>
    <col min="18" max="18" width="27.7109375" style="1" customWidth="1"/>
    <col min="19" max="19" width="14.7109375" style="1" customWidth="1"/>
    <col min="20" max="20" width="16.42578125" customWidth="1"/>
    <col min="21" max="21" width="13.140625" bestFit="1" customWidth="1"/>
    <col min="22" max="22" width="13" bestFit="1" customWidth="1"/>
    <col min="254" max="254" width="6.5703125" bestFit="1" customWidth="1"/>
    <col min="255" max="255" width="19.140625" customWidth="1"/>
    <col min="256" max="256" width="16.7109375" bestFit="1" customWidth="1"/>
    <col min="257" max="257" width="28.140625" bestFit="1" customWidth="1"/>
    <col min="258" max="258" width="15.5703125" customWidth="1"/>
    <col min="259" max="259" width="30.28515625" customWidth="1"/>
    <col min="260" max="260" width="15.5703125" customWidth="1"/>
    <col min="262" max="262" width="18.42578125" customWidth="1"/>
    <col min="263" max="263" width="21.5703125" customWidth="1"/>
    <col min="264" max="264" width="18.28515625" customWidth="1"/>
    <col min="265" max="265" width="21.42578125" bestFit="1" customWidth="1"/>
    <col min="266" max="266" width="16.7109375" customWidth="1"/>
    <col min="267" max="267" width="15.85546875" customWidth="1"/>
    <col min="268" max="268" width="14.7109375" customWidth="1"/>
    <col min="269" max="269" width="10.140625" bestFit="1" customWidth="1"/>
    <col min="510" max="510" width="6.5703125" bestFit="1" customWidth="1"/>
    <col min="511" max="511" width="19.140625" customWidth="1"/>
    <col min="512" max="512" width="16.7109375" bestFit="1" customWidth="1"/>
    <col min="513" max="513" width="28.140625" bestFit="1" customWidth="1"/>
    <col min="514" max="514" width="15.5703125" customWidth="1"/>
    <col min="515" max="515" width="30.28515625" customWidth="1"/>
    <col min="516" max="516" width="15.5703125" customWidth="1"/>
    <col min="518" max="518" width="18.42578125" customWidth="1"/>
    <col min="519" max="519" width="21.5703125" customWidth="1"/>
    <col min="520" max="520" width="18.28515625" customWidth="1"/>
    <col min="521" max="521" width="21.42578125" bestFit="1" customWidth="1"/>
    <col min="522" max="522" width="16.7109375" customWidth="1"/>
    <col min="523" max="523" width="15.85546875" customWidth="1"/>
    <col min="524" max="524" width="14.7109375" customWidth="1"/>
    <col min="525" max="525" width="10.140625" bestFit="1" customWidth="1"/>
    <col min="766" max="766" width="6.5703125" bestFit="1" customWidth="1"/>
    <col min="767" max="767" width="19.140625" customWidth="1"/>
    <col min="768" max="768" width="16.7109375" bestFit="1" customWidth="1"/>
    <col min="769" max="769" width="28.140625" bestFit="1" customWidth="1"/>
    <col min="770" max="770" width="15.5703125" customWidth="1"/>
    <col min="771" max="771" width="30.28515625" customWidth="1"/>
    <col min="772" max="772" width="15.5703125" customWidth="1"/>
    <col min="774" max="774" width="18.42578125" customWidth="1"/>
    <col min="775" max="775" width="21.5703125" customWidth="1"/>
    <col min="776" max="776" width="18.28515625" customWidth="1"/>
    <col min="777" max="777" width="21.42578125" bestFit="1" customWidth="1"/>
    <col min="778" max="778" width="16.7109375" customWidth="1"/>
    <col min="779" max="779" width="15.85546875" customWidth="1"/>
    <col min="780" max="780" width="14.7109375" customWidth="1"/>
    <col min="781" max="781" width="10.140625" bestFit="1" customWidth="1"/>
    <col min="1022" max="1022" width="6.5703125" bestFit="1" customWidth="1"/>
    <col min="1023" max="1023" width="19.140625" customWidth="1"/>
    <col min="1024" max="1024" width="16.7109375" bestFit="1" customWidth="1"/>
    <col min="1025" max="1025" width="28.140625" bestFit="1" customWidth="1"/>
    <col min="1026" max="1026" width="15.5703125" customWidth="1"/>
    <col min="1027" max="1027" width="30.28515625" customWidth="1"/>
    <col min="1028" max="1028" width="15.5703125" customWidth="1"/>
    <col min="1030" max="1030" width="18.42578125" customWidth="1"/>
    <col min="1031" max="1031" width="21.5703125" customWidth="1"/>
    <col min="1032" max="1032" width="18.28515625" customWidth="1"/>
    <col min="1033" max="1033" width="21.42578125" bestFit="1" customWidth="1"/>
    <col min="1034" max="1034" width="16.7109375" customWidth="1"/>
    <col min="1035" max="1035" width="15.85546875" customWidth="1"/>
    <col min="1036" max="1036" width="14.7109375" customWidth="1"/>
    <col min="1037" max="1037" width="10.140625" bestFit="1" customWidth="1"/>
    <col min="1278" max="1278" width="6.5703125" bestFit="1" customWidth="1"/>
    <col min="1279" max="1279" width="19.140625" customWidth="1"/>
    <col min="1280" max="1280" width="16.7109375" bestFit="1" customWidth="1"/>
    <col min="1281" max="1281" width="28.140625" bestFit="1" customWidth="1"/>
    <col min="1282" max="1282" width="15.5703125" customWidth="1"/>
    <col min="1283" max="1283" width="30.28515625" customWidth="1"/>
    <col min="1284" max="1284" width="15.5703125" customWidth="1"/>
    <col min="1286" max="1286" width="18.42578125" customWidth="1"/>
    <col min="1287" max="1287" width="21.5703125" customWidth="1"/>
    <col min="1288" max="1288" width="18.28515625" customWidth="1"/>
    <col min="1289" max="1289" width="21.42578125" bestFit="1" customWidth="1"/>
    <col min="1290" max="1290" width="16.7109375" customWidth="1"/>
    <col min="1291" max="1291" width="15.85546875" customWidth="1"/>
    <col min="1292" max="1292" width="14.7109375" customWidth="1"/>
    <col min="1293" max="1293" width="10.140625" bestFit="1" customWidth="1"/>
    <col min="1534" max="1534" width="6.5703125" bestFit="1" customWidth="1"/>
    <col min="1535" max="1535" width="19.140625" customWidth="1"/>
    <col min="1536" max="1536" width="16.7109375" bestFit="1" customWidth="1"/>
    <col min="1537" max="1537" width="28.140625" bestFit="1" customWidth="1"/>
    <col min="1538" max="1538" width="15.5703125" customWidth="1"/>
    <col min="1539" max="1539" width="30.28515625" customWidth="1"/>
    <col min="1540" max="1540" width="15.5703125" customWidth="1"/>
    <col min="1542" max="1542" width="18.42578125" customWidth="1"/>
    <col min="1543" max="1543" width="21.5703125" customWidth="1"/>
    <col min="1544" max="1544" width="18.28515625" customWidth="1"/>
    <col min="1545" max="1545" width="21.42578125" bestFit="1" customWidth="1"/>
    <col min="1546" max="1546" width="16.7109375" customWidth="1"/>
    <col min="1547" max="1547" width="15.85546875" customWidth="1"/>
    <col min="1548" max="1548" width="14.7109375" customWidth="1"/>
    <col min="1549" max="1549" width="10.140625" bestFit="1" customWidth="1"/>
    <col min="1790" max="1790" width="6.5703125" bestFit="1" customWidth="1"/>
    <col min="1791" max="1791" width="19.140625" customWidth="1"/>
    <col min="1792" max="1792" width="16.7109375" bestFit="1" customWidth="1"/>
    <col min="1793" max="1793" width="28.140625" bestFit="1" customWidth="1"/>
    <col min="1794" max="1794" width="15.5703125" customWidth="1"/>
    <col min="1795" max="1795" width="30.28515625" customWidth="1"/>
    <col min="1796" max="1796" width="15.5703125" customWidth="1"/>
    <col min="1798" max="1798" width="18.42578125" customWidth="1"/>
    <col min="1799" max="1799" width="21.5703125" customWidth="1"/>
    <col min="1800" max="1800" width="18.28515625" customWidth="1"/>
    <col min="1801" max="1801" width="21.42578125" bestFit="1" customWidth="1"/>
    <col min="1802" max="1802" width="16.7109375" customWidth="1"/>
    <col min="1803" max="1803" width="15.85546875" customWidth="1"/>
    <col min="1804" max="1804" width="14.7109375" customWidth="1"/>
    <col min="1805" max="1805" width="10.140625" bestFit="1" customWidth="1"/>
    <col min="2046" max="2046" width="6.5703125" bestFit="1" customWidth="1"/>
    <col min="2047" max="2047" width="19.140625" customWidth="1"/>
    <col min="2048" max="2048" width="16.7109375" bestFit="1" customWidth="1"/>
    <col min="2049" max="2049" width="28.140625" bestFit="1" customWidth="1"/>
    <col min="2050" max="2050" width="15.5703125" customWidth="1"/>
    <col min="2051" max="2051" width="30.28515625" customWidth="1"/>
    <col min="2052" max="2052" width="15.5703125" customWidth="1"/>
    <col min="2054" max="2054" width="18.42578125" customWidth="1"/>
    <col min="2055" max="2055" width="21.5703125" customWidth="1"/>
    <col min="2056" max="2056" width="18.28515625" customWidth="1"/>
    <col min="2057" max="2057" width="21.42578125" bestFit="1" customWidth="1"/>
    <col min="2058" max="2058" width="16.7109375" customWidth="1"/>
    <col min="2059" max="2059" width="15.85546875" customWidth="1"/>
    <col min="2060" max="2060" width="14.7109375" customWidth="1"/>
    <col min="2061" max="2061" width="10.140625" bestFit="1" customWidth="1"/>
    <col min="2302" max="2302" width="6.5703125" bestFit="1" customWidth="1"/>
    <col min="2303" max="2303" width="19.140625" customWidth="1"/>
    <col min="2304" max="2304" width="16.7109375" bestFit="1" customWidth="1"/>
    <col min="2305" max="2305" width="28.140625" bestFit="1" customWidth="1"/>
    <col min="2306" max="2306" width="15.5703125" customWidth="1"/>
    <col min="2307" max="2307" width="30.28515625" customWidth="1"/>
    <col min="2308" max="2308" width="15.5703125" customWidth="1"/>
    <col min="2310" max="2310" width="18.42578125" customWidth="1"/>
    <col min="2311" max="2311" width="21.5703125" customWidth="1"/>
    <col min="2312" max="2312" width="18.28515625" customWidth="1"/>
    <col min="2313" max="2313" width="21.42578125" bestFit="1" customWidth="1"/>
    <col min="2314" max="2314" width="16.7109375" customWidth="1"/>
    <col min="2315" max="2315" width="15.85546875" customWidth="1"/>
    <col min="2316" max="2316" width="14.7109375" customWidth="1"/>
    <col min="2317" max="2317" width="10.140625" bestFit="1" customWidth="1"/>
    <col min="2558" max="2558" width="6.5703125" bestFit="1" customWidth="1"/>
    <col min="2559" max="2559" width="19.140625" customWidth="1"/>
    <col min="2560" max="2560" width="16.7109375" bestFit="1" customWidth="1"/>
    <col min="2561" max="2561" width="28.140625" bestFit="1" customWidth="1"/>
    <col min="2562" max="2562" width="15.5703125" customWidth="1"/>
    <col min="2563" max="2563" width="30.28515625" customWidth="1"/>
    <col min="2564" max="2564" width="15.5703125" customWidth="1"/>
    <col min="2566" max="2566" width="18.42578125" customWidth="1"/>
    <col min="2567" max="2567" width="21.5703125" customWidth="1"/>
    <col min="2568" max="2568" width="18.28515625" customWidth="1"/>
    <col min="2569" max="2569" width="21.42578125" bestFit="1" customWidth="1"/>
    <col min="2570" max="2570" width="16.7109375" customWidth="1"/>
    <col min="2571" max="2571" width="15.85546875" customWidth="1"/>
    <col min="2572" max="2572" width="14.7109375" customWidth="1"/>
    <col min="2573" max="2573" width="10.140625" bestFit="1" customWidth="1"/>
    <col min="2814" max="2814" width="6.5703125" bestFit="1" customWidth="1"/>
    <col min="2815" max="2815" width="19.140625" customWidth="1"/>
    <col min="2816" max="2816" width="16.7109375" bestFit="1" customWidth="1"/>
    <col min="2817" max="2817" width="28.140625" bestFit="1" customWidth="1"/>
    <col min="2818" max="2818" width="15.5703125" customWidth="1"/>
    <col min="2819" max="2819" width="30.28515625" customWidth="1"/>
    <col min="2820" max="2820" width="15.5703125" customWidth="1"/>
    <col min="2822" max="2822" width="18.42578125" customWidth="1"/>
    <col min="2823" max="2823" width="21.5703125" customWidth="1"/>
    <col min="2824" max="2824" width="18.28515625" customWidth="1"/>
    <col min="2825" max="2825" width="21.42578125" bestFit="1" customWidth="1"/>
    <col min="2826" max="2826" width="16.7109375" customWidth="1"/>
    <col min="2827" max="2827" width="15.85546875" customWidth="1"/>
    <col min="2828" max="2828" width="14.7109375" customWidth="1"/>
    <col min="2829" max="2829" width="10.140625" bestFit="1" customWidth="1"/>
    <col min="3070" max="3070" width="6.5703125" bestFit="1" customWidth="1"/>
    <col min="3071" max="3071" width="19.140625" customWidth="1"/>
    <col min="3072" max="3072" width="16.7109375" bestFit="1" customWidth="1"/>
    <col min="3073" max="3073" width="28.140625" bestFit="1" customWidth="1"/>
    <col min="3074" max="3074" width="15.5703125" customWidth="1"/>
    <col min="3075" max="3075" width="30.28515625" customWidth="1"/>
    <col min="3076" max="3076" width="15.5703125" customWidth="1"/>
    <col min="3078" max="3078" width="18.42578125" customWidth="1"/>
    <col min="3079" max="3079" width="21.5703125" customWidth="1"/>
    <col min="3080" max="3080" width="18.28515625" customWidth="1"/>
    <col min="3081" max="3081" width="21.42578125" bestFit="1" customWidth="1"/>
    <col min="3082" max="3082" width="16.7109375" customWidth="1"/>
    <col min="3083" max="3083" width="15.85546875" customWidth="1"/>
    <col min="3084" max="3084" width="14.7109375" customWidth="1"/>
    <col min="3085" max="3085" width="10.140625" bestFit="1" customWidth="1"/>
    <col min="3326" max="3326" width="6.5703125" bestFit="1" customWidth="1"/>
    <col min="3327" max="3327" width="19.140625" customWidth="1"/>
    <col min="3328" max="3328" width="16.7109375" bestFit="1" customWidth="1"/>
    <col min="3329" max="3329" width="28.140625" bestFit="1" customWidth="1"/>
    <col min="3330" max="3330" width="15.5703125" customWidth="1"/>
    <col min="3331" max="3331" width="30.28515625" customWidth="1"/>
    <col min="3332" max="3332" width="15.5703125" customWidth="1"/>
    <col min="3334" max="3334" width="18.42578125" customWidth="1"/>
    <col min="3335" max="3335" width="21.5703125" customWidth="1"/>
    <col min="3336" max="3336" width="18.28515625" customWidth="1"/>
    <col min="3337" max="3337" width="21.42578125" bestFit="1" customWidth="1"/>
    <col min="3338" max="3338" width="16.7109375" customWidth="1"/>
    <col min="3339" max="3339" width="15.85546875" customWidth="1"/>
    <col min="3340" max="3340" width="14.7109375" customWidth="1"/>
    <col min="3341" max="3341" width="10.140625" bestFit="1" customWidth="1"/>
    <col min="3582" max="3582" width="6.5703125" bestFit="1" customWidth="1"/>
    <col min="3583" max="3583" width="19.140625" customWidth="1"/>
    <col min="3584" max="3584" width="16.7109375" bestFit="1" customWidth="1"/>
    <col min="3585" max="3585" width="28.140625" bestFit="1" customWidth="1"/>
    <col min="3586" max="3586" width="15.5703125" customWidth="1"/>
    <col min="3587" max="3587" width="30.28515625" customWidth="1"/>
    <col min="3588" max="3588" width="15.5703125" customWidth="1"/>
    <col min="3590" max="3590" width="18.42578125" customWidth="1"/>
    <col min="3591" max="3591" width="21.5703125" customWidth="1"/>
    <col min="3592" max="3592" width="18.28515625" customWidth="1"/>
    <col min="3593" max="3593" width="21.42578125" bestFit="1" customWidth="1"/>
    <col min="3594" max="3594" width="16.7109375" customWidth="1"/>
    <col min="3595" max="3595" width="15.85546875" customWidth="1"/>
    <col min="3596" max="3596" width="14.7109375" customWidth="1"/>
    <col min="3597" max="3597" width="10.140625" bestFit="1" customWidth="1"/>
    <col min="3838" max="3838" width="6.5703125" bestFit="1" customWidth="1"/>
    <col min="3839" max="3839" width="19.140625" customWidth="1"/>
    <col min="3840" max="3840" width="16.7109375" bestFit="1" customWidth="1"/>
    <col min="3841" max="3841" width="28.140625" bestFit="1" customWidth="1"/>
    <col min="3842" max="3842" width="15.5703125" customWidth="1"/>
    <col min="3843" max="3843" width="30.28515625" customWidth="1"/>
    <col min="3844" max="3844" width="15.5703125" customWidth="1"/>
    <col min="3846" max="3846" width="18.42578125" customWidth="1"/>
    <col min="3847" max="3847" width="21.5703125" customWidth="1"/>
    <col min="3848" max="3848" width="18.28515625" customWidth="1"/>
    <col min="3849" max="3849" width="21.42578125" bestFit="1" customWidth="1"/>
    <col min="3850" max="3850" width="16.7109375" customWidth="1"/>
    <col min="3851" max="3851" width="15.85546875" customWidth="1"/>
    <col min="3852" max="3852" width="14.7109375" customWidth="1"/>
    <col min="3853" max="3853" width="10.140625" bestFit="1" customWidth="1"/>
    <col min="4094" max="4094" width="6.5703125" bestFit="1" customWidth="1"/>
    <col min="4095" max="4095" width="19.140625" customWidth="1"/>
    <col min="4096" max="4096" width="16.7109375" bestFit="1" customWidth="1"/>
    <col min="4097" max="4097" width="28.140625" bestFit="1" customWidth="1"/>
    <col min="4098" max="4098" width="15.5703125" customWidth="1"/>
    <col min="4099" max="4099" width="30.28515625" customWidth="1"/>
    <col min="4100" max="4100" width="15.5703125" customWidth="1"/>
    <col min="4102" max="4102" width="18.42578125" customWidth="1"/>
    <col min="4103" max="4103" width="21.5703125" customWidth="1"/>
    <col min="4104" max="4104" width="18.28515625" customWidth="1"/>
    <col min="4105" max="4105" width="21.42578125" bestFit="1" customWidth="1"/>
    <col min="4106" max="4106" width="16.7109375" customWidth="1"/>
    <col min="4107" max="4107" width="15.85546875" customWidth="1"/>
    <col min="4108" max="4108" width="14.7109375" customWidth="1"/>
    <col min="4109" max="4109" width="10.140625" bestFit="1" customWidth="1"/>
    <col min="4350" max="4350" width="6.5703125" bestFit="1" customWidth="1"/>
    <col min="4351" max="4351" width="19.140625" customWidth="1"/>
    <col min="4352" max="4352" width="16.7109375" bestFit="1" customWidth="1"/>
    <col min="4353" max="4353" width="28.140625" bestFit="1" customWidth="1"/>
    <col min="4354" max="4354" width="15.5703125" customWidth="1"/>
    <col min="4355" max="4355" width="30.28515625" customWidth="1"/>
    <col min="4356" max="4356" width="15.5703125" customWidth="1"/>
    <col min="4358" max="4358" width="18.42578125" customWidth="1"/>
    <col min="4359" max="4359" width="21.5703125" customWidth="1"/>
    <col min="4360" max="4360" width="18.28515625" customWidth="1"/>
    <col min="4361" max="4361" width="21.42578125" bestFit="1" customWidth="1"/>
    <col min="4362" max="4362" width="16.7109375" customWidth="1"/>
    <col min="4363" max="4363" width="15.85546875" customWidth="1"/>
    <col min="4364" max="4364" width="14.7109375" customWidth="1"/>
    <col min="4365" max="4365" width="10.140625" bestFit="1" customWidth="1"/>
    <col min="4606" max="4606" width="6.5703125" bestFit="1" customWidth="1"/>
    <col min="4607" max="4607" width="19.140625" customWidth="1"/>
    <col min="4608" max="4608" width="16.7109375" bestFit="1" customWidth="1"/>
    <col min="4609" max="4609" width="28.140625" bestFit="1" customWidth="1"/>
    <col min="4610" max="4610" width="15.5703125" customWidth="1"/>
    <col min="4611" max="4611" width="30.28515625" customWidth="1"/>
    <col min="4612" max="4612" width="15.5703125" customWidth="1"/>
    <col min="4614" max="4614" width="18.42578125" customWidth="1"/>
    <col min="4615" max="4615" width="21.5703125" customWidth="1"/>
    <col min="4616" max="4616" width="18.28515625" customWidth="1"/>
    <col min="4617" max="4617" width="21.42578125" bestFit="1" customWidth="1"/>
    <col min="4618" max="4618" width="16.7109375" customWidth="1"/>
    <col min="4619" max="4619" width="15.85546875" customWidth="1"/>
    <col min="4620" max="4620" width="14.7109375" customWidth="1"/>
    <col min="4621" max="4621" width="10.140625" bestFit="1" customWidth="1"/>
    <col min="4862" max="4862" width="6.5703125" bestFit="1" customWidth="1"/>
    <col min="4863" max="4863" width="19.140625" customWidth="1"/>
    <col min="4864" max="4864" width="16.7109375" bestFit="1" customWidth="1"/>
    <col min="4865" max="4865" width="28.140625" bestFit="1" customWidth="1"/>
    <col min="4866" max="4866" width="15.5703125" customWidth="1"/>
    <col min="4867" max="4867" width="30.28515625" customWidth="1"/>
    <col min="4868" max="4868" width="15.5703125" customWidth="1"/>
    <col min="4870" max="4870" width="18.42578125" customWidth="1"/>
    <col min="4871" max="4871" width="21.5703125" customWidth="1"/>
    <col min="4872" max="4872" width="18.28515625" customWidth="1"/>
    <col min="4873" max="4873" width="21.42578125" bestFit="1" customWidth="1"/>
    <col min="4874" max="4874" width="16.7109375" customWidth="1"/>
    <col min="4875" max="4875" width="15.85546875" customWidth="1"/>
    <col min="4876" max="4876" width="14.7109375" customWidth="1"/>
    <col min="4877" max="4877" width="10.140625" bestFit="1" customWidth="1"/>
    <col min="5118" max="5118" width="6.5703125" bestFit="1" customWidth="1"/>
    <col min="5119" max="5119" width="19.140625" customWidth="1"/>
    <col min="5120" max="5120" width="16.7109375" bestFit="1" customWidth="1"/>
    <col min="5121" max="5121" width="28.140625" bestFit="1" customWidth="1"/>
    <col min="5122" max="5122" width="15.5703125" customWidth="1"/>
    <col min="5123" max="5123" width="30.28515625" customWidth="1"/>
    <col min="5124" max="5124" width="15.5703125" customWidth="1"/>
    <col min="5126" max="5126" width="18.42578125" customWidth="1"/>
    <col min="5127" max="5127" width="21.5703125" customWidth="1"/>
    <col min="5128" max="5128" width="18.28515625" customWidth="1"/>
    <col min="5129" max="5129" width="21.42578125" bestFit="1" customWidth="1"/>
    <col min="5130" max="5130" width="16.7109375" customWidth="1"/>
    <col min="5131" max="5131" width="15.85546875" customWidth="1"/>
    <col min="5132" max="5132" width="14.7109375" customWidth="1"/>
    <col min="5133" max="5133" width="10.140625" bestFit="1" customWidth="1"/>
    <col min="5374" max="5374" width="6.5703125" bestFit="1" customWidth="1"/>
    <col min="5375" max="5375" width="19.140625" customWidth="1"/>
    <col min="5376" max="5376" width="16.7109375" bestFit="1" customWidth="1"/>
    <col min="5377" max="5377" width="28.140625" bestFit="1" customWidth="1"/>
    <col min="5378" max="5378" width="15.5703125" customWidth="1"/>
    <col min="5379" max="5379" width="30.28515625" customWidth="1"/>
    <col min="5380" max="5380" width="15.5703125" customWidth="1"/>
    <col min="5382" max="5382" width="18.42578125" customWidth="1"/>
    <col min="5383" max="5383" width="21.5703125" customWidth="1"/>
    <col min="5384" max="5384" width="18.28515625" customWidth="1"/>
    <col min="5385" max="5385" width="21.42578125" bestFit="1" customWidth="1"/>
    <col min="5386" max="5386" width="16.7109375" customWidth="1"/>
    <col min="5387" max="5387" width="15.85546875" customWidth="1"/>
    <col min="5388" max="5388" width="14.7109375" customWidth="1"/>
    <col min="5389" max="5389" width="10.140625" bestFit="1" customWidth="1"/>
    <col min="5630" max="5630" width="6.5703125" bestFit="1" customWidth="1"/>
    <col min="5631" max="5631" width="19.140625" customWidth="1"/>
    <col min="5632" max="5632" width="16.7109375" bestFit="1" customWidth="1"/>
    <col min="5633" max="5633" width="28.140625" bestFit="1" customWidth="1"/>
    <col min="5634" max="5634" width="15.5703125" customWidth="1"/>
    <col min="5635" max="5635" width="30.28515625" customWidth="1"/>
    <col min="5636" max="5636" width="15.5703125" customWidth="1"/>
    <col min="5638" max="5638" width="18.42578125" customWidth="1"/>
    <col min="5639" max="5639" width="21.5703125" customWidth="1"/>
    <col min="5640" max="5640" width="18.28515625" customWidth="1"/>
    <col min="5641" max="5641" width="21.42578125" bestFit="1" customWidth="1"/>
    <col min="5642" max="5642" width="16.7109375" customWidth="1"/>
    <col min="5643" max="5643" width="15.85546875" customWidth="1"/>
    <col min="5644" max="5644" width="14.7109375" customWidth="1"/>
    <col min="5645" max="5645" width="10.140625" bestFit="1" customWidth="1"/>
    <col min="5886" max="5886" width="6.5703125" bestFit="1" customWidth="1"/>
    <col min="5887" max="5887" width="19.140625" customWidth="1"/>
    <col min="5888" max="5888" width="16.7109375" bestFit="1" customWidth="1"/>
    <col min="5889" max="5889" width="28.140625" bestFit="1" customWidth="1"/>
    <col min="5890" max="5890" width="15.5703125" customWidth="1"/>
    <col min="5891" max="5891" width="30.28515625" customWidth="1"/>
    <col min="5892" max="5892" width="15.5703125" customWidth="1"/>
    <col min="5894" max="5894" width="18.42578125" customWidth="1"/>
    <col min="5895" max="5895" width="21.5703125" customWidth="1"/>
    <col min="5896" max="5896" width="18.28515625" customWidth="1"/>
    <col min="5897" max="5897" width="21.42578125" bestFit="1" customWidth="1"/>
    <col min="5898" max="5898" width="16.7109375" customWidth="1"/>
    <col min="5899" max="5899" width="15.85546875" customWidth="1"/>
    <col min="5900" max="5900" width="14.7109375" customWidth="1"/>
    <col min="5901" max="5901" width="10.140625" bestFit="1" customWidth="1"/>
    <col min="6142" max="6142" width="6.5703125" bestFit="1" customWidth="1"/>
    <col min="6143" max="6143" width="19.140625" customWidth="1"/>
    <col min="6144" max="6144" width="16.7109375" bestFit="1" customWidth="1"/>
    <col min="6145" max="6145" width="28.140625" bestFit="1" customWidth="1"/>
    <col min="6146" max="6146" width="15.5703125" customWidth="1"/>
    <col min="6147" max="6147" width="30.28515625" customWidth="1"/>
    <col min="6148" max="6148" width="15.5703125" customWidth="1"/>
    <col min="6150" max="6150" width="18.42578125" customWidth="1"/>
    <col min="6151" max="6151" width="21.5703125" customWidth="1"/>
    <col min="6152" max="6152" width="18.28515625" customWidth="1"/>
    <col min="6153" max="6153" width="21.42578125" bestFit="1" customWidth="1"/>
    <col min="6154" max="6154" width="16.7109375" customWidth="1"/>
    <col min="6155" max="6155" width="15.85546875" customWidth="1"/>
    <col min="6156" max="6156" width="14.7109375" customWidth="1"/>
    <col min="6157" max="6157" width="10.140625" bestFit="1" customWidth="1"/>
    <col min="6398" max="6398" width="6.5703125" bestFit="1" customWidth="1"/>
    <col min="6399" max="6399" width="19.140625" customWidth="1"/>
    <col min="6400" max="6400" width="16.7109375" bestFit="1" customWidth="1"/>
    <col min="6401" max="6401" width="28.140625" bestFit="1" customWidth="1"/>
    <col min="6402" max="6402" width="15.5703125" customWidth="1"/>
    <col min="6403" max="6403" width="30.28515625" customWidth="1"/>
    <col min="6404" max="6404" width="15.5703125" customWidth="1"/>
    <col min="6406" max="6406" width="18.42578125" customWidth="1"/>
    <col min="6407" max="6407" width="21.5703125" customWidth="1"/>
    <col min="6408" max="6408" width="18.28515625" customWidth="1"/>
    <col min="6409" max="6409" width="21.42578125" bestFit="1" customWidth="1"/>
    <col min="6410" max="6410" width="16.7109375" customWidth="1"/>
    <col min="6411" max="6411" width="15.85546875" customWidth="1"/>
    <col min="6412" max="6412" width="14.7109375" customWidth="1"/>
    <col min="6413" max="6413" width="10.140625" bestFit="1" customWidth="1"/>
    <col min="6654" max="6654" width="6.5703125" bestFit="1" customWidth="1"/>
    <col min="6655" max="6655" width="19.140625" customWidth="1"/>
    <col min="6656" max="6656" width="16.7109375" bestFit="1" customWidth="1"/>
    <col min="6657" max="6657" width="28.140625" bestFit="1" customWidth="1"/>
    <col min="6658" max="6658" width="15.5703125" customWidth="1"/>
    <col min="6659" max="6659" width="30.28515625" customWidth="1"/>
    <col min="6660" max="6660" width="15.5703125" customWidth="1"/>
    <col min="6662" max="6662" width="18.42578125" customWidth="1"/>
    <col min="6663" max="6663" width="21.5703125" customWidth="1"/>
    <col min="6664" max="6664" width="18.28515625" customWidth="1"/>
    <col min="6665" max="6665" width="21.42578125" bestFit="1" customWidth="1"/>
    <col min="6666" max="6666" width="16.7109375" customWidth="1"/>
    <col min="6667" max="6667" width="15.85546875" customWidth="1"/>
    <col min="6668" max="6668" width="14.7109375" customWidth="1"/>
    <col min="6669" max="6669" width="10.140625" bestFit="1" customWidth="1"/>
    <col min="6910" max="6910" width="6.5703125" bestFit="1" customWidth="1"/>
    <col min="6911" max="6911" width="19.140625" customWidth="1"/>
    <col min="6912" max="6912" width="16.7109375" bestFit="1" customWidth="1"/>
    <col min="6913" max="6913" width="28.140625" bestFit="1" customWidth="1"/>
    <col min="6914" max="6914" width="15.5703125" customWidth="1"/>
    <col min="6915" max="6915" width="30.28515625" customWidth="1"/>
    <col min="6916" max="6916" width="15.5703125" customWidth="1"/>
    <col min="6918" max="6918" width="18.42578125" customWidth="1"/>
    <col min="6919" max="6919" width="21.5703125" customWidth="1"/>
    <col min="6920" max="6920" width="18.28515625" customWidth="1"/>
    <col min="6921" max="6921" width="21.42578125" bestFit="1" customWidth="1"/>
    <col min="6922" max="6922" width="16.7109375" customWidth="1"/>
    <col min="6923" max="6923" width="15.85546875" customWidth="1"/>
    <col min="6924" max="6924" width="14.7109375" customWidth="1"/>
    <col min="6925" max="6925" width="10.140625" bestFit="1" customWidth="1"/>
    <col min="7166" max="7166" width="6.5703125" bestFit="1" customWidth="1"/>
    <col min="7167" max="7167" width="19.140625" customWidth="1"/>
    <col min="7168" max="7168" width="16.7109375" bestFit="1" customWidth="1"/>
    <col min="7169" max="7169" width="28.140625" bestFit="1" customWidth="1"/>
    <col min="7170" max="7170" width="15.5703125" customWidth="1"/>
    <col min="7171" max="7171" width="30.28515625" customWidth="1"/>
    <col min="7172" max="7172" width="15.5703125" customWidth="1"/>
    <col min="7174" max="7174" width="18.42578125" customWidth="1"/>
    <col min="7175" max="7175" width="21.5703125" customWidth="1"/>
    <col min="7176" max="7176" width="18.28515625" customWidth="1"/>
    <col min="7177" max="7177" width="21.42578125" bestFit="1" customWidth="1"/>
    <col min="7178" max="7178" width="16.7109375" customWidth="1"/>
    <col min="7179" max="7179" width="15.85546875" customWidth="1"/>
    <col min="7180" max="7180" width="14.7109375" customWidth="1"/>
    <col min="7181" max="7181" width="10.140625" bestFit="1" customWidth="1"/>
    <col min="7422" max="7422" width="6.5703125" bestFit="1" customWidth="1"/>
    <col min="7423" max="7423" width="19.140625" customWidth="1"/>
    <col min="7424" max="7424" width="16.7109375" bestFit="1" customWidth="1"/>
    <col min="7425" max="7425" width="28.140625" bestFit="1" customWidth="1"/>
    <col min="7426" max="7426" width="15.5703125" customWidth="1"/>
    <col min="7427" max="7427" width="30.28515625" customWidth="1"/>
    <col min="7428" max="7428" width="15.5703125" customWidth="1"/>
    <col min="7430" max="7430" width="18.42578125" customWidth="1"/>
    <col min="7431" max="7431" width="21.5703125" customWidth="1"/>
    <col min="7432" max="7432" width="18.28515625" customWidth="1"/>
    <col min="7433" max="7433" width="21.42578125" bestFit="1" customWidth="1"/>
    <col min="7434" max="7434" width="16.7109375" customWidth="1"/>
    <col min="7435" max="7435" width="15.85546875" customWidth="1"/>
    <col min="7436" max="7436" width="14.7109375" customWidth="1"/>
    <col min="7437" max="7437" width="10.140625" bestFit="1" customWidth="1"/>
    <col min="7678" max="7678" width="6.5703125" bestFit="1" customWidth="1"/>
    <col min="7679" max="7679" width="19.140625" customWidth="1"/>
    <col min="7680" max="7680" width="16.7109375" bestFit="1" customWidth="1"/>
    <col min="7681" max="7681" width="28.140625" bestFit="1" customWidth="1"/>
    <col min="7682" max="7682" width="15.5703125" customWidth="1"/>
    <col min="7683" max="7683" width="30.28515625" customWidth="1"/>
    <col min="7684" max="7684" width="15.5703125" customWidth="1"/>
    <col min="7686" max="7686" width="18.42578125" customWidth="1"/>
    <col min="7687" max="7687" width="21.5703125" customWidth="1"/>
    <col min="7688" max="7688" width="18.28515625" customWidth="1"/>
    <col min="7689" max="7689" width="21.42578125" bestFit="1" customWidth="1"/>
    <col min="7690" max="7690" width="16.7109375" customWidth="1"/>
    <col min="7691" max="7691" width="15.85546875" customWidth="1"/>
    <col min="7692" max="7692" width="14.7109375" customWidth="1"/>
    <col min="7693" max="7693" width="10.140625" bestFit="1" customWidth="1"/>
    <col min="7934" max="7934" width="6.5703125" bestFit="1" customWidth="1"/>
    <col min="7935" max="7935" width="19.140625" customWidth="1"/>
    <col min="7936" max="7936" width="16.7109375" bestFit="1" customWidth="1"/>
    <col min="7937" max="7937" width="28.140625" bestFit="1" customWidth="1"/>
    <col min="7938" max="7938" width="15.5703125" customWidth="1"/>
    <col min="7939" max="7939" width="30.28515625" customWidth="1"/>
    <col min="7940" max="7940" width="15.5703125" customWidth="1"/>
    <col min="7942" max="7942" width="18.42578125" customWidth="1"/>
    <col min="7943" max="7943" width="21.5703125" customWidth="1"/>
    <col min="7944" max="7944" width="18.28515625" customWidth="1"/>
    <col min="7945" max="7945" width="21.42578125" bestFit="1" customWidth="1"/>
    <col min="7946" max="7946" width="16.7109375" customWidth="1"/>
    <col min="7947" max="7947" width="15.85546875" customWidth="1"/>
    <col min="7948" max="7948" width="14.7109375" customWidth="1"/>
    <col min="7949" max="7949" width="10.140625" bestFit="1" customWidth="1"/>
    <col min="8190" max="8190" width="6.5703125" bestFit="1" customWidth="1"/>
    <col min="8191" max="8191" width="19.140625" customWidth="1"/>
    <col min="8192" max="8192" width="16.7109375" bestFit="1" customWidth="1"/>
    <col min="8193" max="8193" width="28.140625" bestFit="1" customWidth="1"/>
    <col min="8194" max="8194" width="15.5703125" customWidth="1"/>
    <col min="8195" max="8195" width="30.28515625" customWidth="1"/>
    <col min="8196" max="8196" width="15.5703125" customWidth="1"/>
    <col min="8198" max="8198" width="18.42578125" customWidth="1"/>
    <col min="8199" max="8199" width="21.5703125" customWidth="1"/>
    <col min="8200" max="8200" width="18.28515625" customWidth="1"/>
    <col min="8201" max="8201" width="21.42578125" bestFit="1" customWidth="1"/>
    <col min="8202" max="8202" width="16.7109375" customWidth="1"/>
    <col min="8203" max="8203" width="15.85546875" customWidth="1"/>
    <col min="8204" max="8204" width="14.7109375" customWidth="1"/>
    <col min="8205" max="8205" width="10.140625" bestFit="1" customWidth="1"/>
    <col min="8446" max="8446" width="6.5703125" bestFit="1" customWidth="1"/>
    <col min="8447" max="8447" width="19.140625" customWidth="1"/>
    <col min="8448" max="8448" width="16.7109375" bestFit="1" customWidth="1"/>
    <col min="8449" max="8449" width="28.140625" bestFit="1" customWidth="1"/>
    <col min="8450" max="8450" width="15.5703125" customWidth="1"/>
    <col min="8451" max="8451" width="30.28515625" customWidth="1"/>
    <col min="8452" max="8452" width="15.5703125" customWidth="1"/>
    <col min="8454" max="8454" width="18.42578125" customWidth="1"/>
    <col min="8455" max="8455" width="21.5703125" customWidth="1"/>
    <col min="8456" max="8456" width="18.28515625" customWidth="1"/>
    <col min="8457" max="8457" width="21.42578125" bestFit="1" customWidth="1"/>
    <col min="8458" max="8458" width="16.7109375" customWidth="1"/>
    <col min="8459" max="8459" width="15.85546875" customWidth="1"/>
    <col min="8460" max="8460" width="14.7109375" customWidth="1"/>
    <col min="8461" max="8461" width="10.140625" bestFit="1" customWidth="1"/>
    <col min="8702" max="8702" width="6.5703125" bestFit="1" customWidth="1"/>
    <col min="8703" max="8703" width="19.140625" customWidth="1"/>
    <col min="8704" max="8704" width="16.7109375" bestFit="1" customWidth="1"/>
    <col min="8705" max="8705" width="28.140625" bestFit="1" customWidth="1"/>
    <col min="8706" max="8706" width="15.5703125" customWidth="1"/>
    <col min="8707" max="8707" width="30.28515625" customWidth="1"/>
    <col min="8708" max="8708" width="15.5703125" customWidth="1"/>
    <col min="8710" max="8710" width="18.42578125" customWidth="1"/>
    <col min="8711" max="8711" width="21.5703125" customWidth="1"/>
    <col min="8712" max="8712" width="18.28515625" customWidth="1"/>
    <col min="8713" max="8713" width="21.42578125" bestFit="1" customWidth="1"/>
    <col min="8714" max="8714" width="16.7109375" customWidth="1"/>
    <col min="8715" max="8715" width="15.85546875" customWidth="1"/>
    <col min="8716" max="8716" width="14.7109375" customWidth="1"/>
    <col min="8717" max="8717" width="10.140625" bestFit="1" customWidth="1"/>
    <col min="8958" max="8958" width="6.5703125" bestFit="1" customWidth="1"/>
    <col min="8959" max="8959" width="19.140625" customWidth="1"/>
    <col min="8960" max="8960" width="16.7109375" bestFit="1" customWidth="1"/>
    <col min="8961" max="8961" width="28.140625" bestFit="1" customWidth="1"/>
    <col min="8962" max="8962" width="15.5703125" customWidth="1"/>
    <col min="8963" max="8963" width="30.28515625" customWidth="1"/>
    <col min="8964" max="8964" width="15.5703125" customWidth="1"/>
    <col min="8966" max="8966" width="18.42578125" customWidth="1"/>
    <col min="8967" max="8967" width="21.5703125" customWidth="1"/>
    <col min="8968" max="8968" width="18.28515625" customWidth="1"/>
    <col min="8969" max="8969" width="21.42578125" bestFit="1" customWidth="1"/>
    <col min="8970" max="8970" width="16.7109375" customWidth="1"/>
    <col min="8971" max="8971" width="15.85546875" customWidth="1"/>
    <col min="8972" max="8972" width="14.7109375" customWidth="1"/>
    <col min="8973" max="8973" width="10.140625" bestFit="1" customWidth="1"/>
    <col min="9214" max="9214" width="6.5703125" bestFit="1" customWidth="1"/>
    <col min="9215" max="9215" width="19.140625" customWidth="1"/>
    <col min="9216" max="9216" width="16.7109375" bestFit="1" customWidth="1"/>
    <col min="9217" max="9217" width="28.140625" bestFit="1" customWidth="1"/>
    <col min="9218" max="9218" width="15.5703125" customWidth="1"/>
    <col min="9219" max="9219" width="30.28515625" customWidth="1"/>
    <col min="9220" max="9220" width="15.5703125" customWidth="1"/>
    <col min="9222" max="9222" width="18.42578125" customWidth="1"/>
    <col min="9223" max="9223" width="21.5703125" customWidth="1"/>
    <col min="9224" max="9224" width="18.28515625" customWidth="1"/>
    <col min="9225" max="9225" width="21.42578125" bestFit="1" customWidth="1"/>
    <col min="9226" max="9226" width="16.7109375" customWidth="1"/>
    <col min="9227" max="9227" width="15.85546875" customWidth="1"/>
    <col min="9228" max="9228" width="14.7109375" customWidth="1"/>
    <col min="9229" max="9229" width="10.140625" bestFit="1" customWidth="1"/>
    <col min="9470" max="9470" width="6.5703125" bestFit="1" customWidth="1"/>
    <col min="9471" max="9471" width="19.140625" customWidth="1"/>
    <col min="9472" max="9472" width="16.7109375" bestFit="1" customWidth="1"/>
    <col min="9473" max="9473" width="28.140625" bestFit="1" customWidth="1"/>
    <col min="9474" max="9474" width="15.5703125" customWidth="1"/>
    <col min="9475" max="9475" width="30.28515625" customWidth="1"/>
    <col min="9476" max="9476" width="15.5703125" customWidth="1"/>
    <col min="9478" max="9478" width="18.42578125" customWidth="1"/>
    <col min="9479" max="9479" width="21.5703125" customWidth="1"/>
    <col min="9480" max="9480" width="18.28515625" customWidth="1"/>
    <col min="9481" max="9481" width="21.42578125" bestFit="1" customWidth="1"/>
    <col min="9482" max="9482" width="16.7109375" customWidth="1"/>
    <col min="9483" max="9483" width="15.85546875" customWidth="1"/>
    <col min="9484" max="9484" width="14.7109375" customWidth="1"/>
    <col min="9485" max="9485" width="10.140625" bestFit="1" customWidth="1"/>
    <col min="9726" max="9726" width="6.5703125" bestFit="1" customWidth="1"/>
    <col min="9727" max="9727" width="19.140625" customWidth="1"/>
    <col min="9728" max="9728" width="16.7109375" bestFit="1" customWidth="1"/>
    <col min="9729" max="9729" width="28.140625" bestFit="1" customWidth="1"/>
    <col min="9730" max="9730" width="15.5703125" customWidth="1"/>
    <col min="9731" max="9731" width="30.28515625" customWidth="1"/>
    <col min="9732" max="9732" width="15.5703125" customWidth="1"/>
    <col min="9734" max="9734" width="18.42578125" customWidth="1"/>
    <col min="9735" max="9735" width="21.5703125" customWidth="1"/>
    <col min="9736" max="9736" width="18.28515625" customWidth="1"/>
    <col min="9737" max="9737" width="21.42578125" bestFit="1" customWidth="1"/>
    <col min="9738" max="9738" width="16.7109375" customWidth="1"/>
    <col min="9739" max="9739" width="15.85546875" customWidth="1"/>
    <col min="9740" max="9740" width="14.7109375" customWidth="1"/>
    <col min="9741" max="9741" width="10.140625" bestFit="1" customWidth="1"/>
    <col min="9982" max="9982" width="6.5703125" bestFit="1" customWidth="1"/>
    <col min="9983" max="9983" width="19.140625" customWidth="1"/>
    <col min="9984" max="9984" width="16.7109375" bestFit="1" customWidth="1"/>
    <col min="9985" max="9985" width="28.140625" bestFit="1" customWidth="1"/>
    <col min="9986" max="9986" width="15.5703125" customWidth="1"/>
    <col min="9987" max="9987" width="30.28515625" customWidth="1"/>
    <col min="9988" max="9988" width="15.5703125" customWidth="1"/>
    <col min="9990" max="9990" width="18.42578125" customWidth="1"/>
    <col min="9991" max="9991" width="21.5703125" customWidth="1"/>
    <col min="9992" max="9992" width="18.28515625" customWidth="1"/>
    <col min="9993" max="9993" width="21.42578125" bestFit="1" customWidth="1"/>
    <col min="9994" max="9994" width="16.7109375" customWidth="1"/>
    <col min="9995" max="9995" width="15.85546875" customWidth="1"/>
    <col min="9996" max="9996" width="14.7109375" customWidth="1"/>
    <col min="9997" max="9997" width="10.140625" bestFit="1" customWidth="1"/>
    <col min="10238" max="10238" width="6.5703125" bestFit="1" customWidth="1"/>
    <col min="10239" max="10239" width="19.140625" customWidth="1"/>
    <col min="10240" max="10240" width="16.7109375" bestFit="1" customWidth="1"/>
    <col min="10241" max="10241" width="28.140625" bestFit="1" customWidth="1"/>
    <col min="10242" max="10242" width="15.5703125" customWidth="1"/>
    <col min="10243" max="10243" width="30.28515625" customWidth="1"/>
    <col min="10244" max="10244" width="15.5703125" customWidth="1"/>
    <col min="10246" max="10246" width="18.42578125" customWidth="1"/>
    <col min="10247" max="10247" width="21.5703125" customWidth="1"/>
    <col min="10248" max="10248" width="18.28515625" customWidth="1"/>
    <col min="10249" max="10249" width="21.42578125" bestFit="1" customWidth="1"/>
    <col min="10250" max="10250" width="16.7109375" customWidth="1"/>
    <col min="10251" max="10251" width="15.85546875" customWidth="1"/>
    <col min="10252" max="10252" width="14.7109375" customWidth="1"/>
    <col min="10253" max="10253" width="10.140625" bestFit="1" customWidth="1"/>
    <col min="10494" max="10494" width="6.5703125" bestFit="1" customWidth="1"/>
    <col min="10495" max="10495" width="19.140625" customWidth="1"/>
    <col min="10496" max="10496" width="16.7109375" bestFit="1" customWidth="1"/>
    <col min="10497" max="10497" width="28.140625" bestFit="1" customWidth="1"/>
    <col min="10498" max="10498" width="15.5703125" customWidth="1"/>
    <col min="10499" max="10499" width="30.28515625" customWidth="1"/>
    <col min="10500" max="10500" width="15.5703125" customWidth="1"/>
    <col min="10502" max="10502" width="18.42578125" customWidth="1"/>
    <col min="10503" max="10503" width="21.5703125" customWidth="1"/>
    <col min="10504" max="10504" width="18.28515625" customWidth="1"/>
    <col min="10505" max="10505" width="21.42578125" bestFit="1" customWidth="1"/>
    <col min="10506" max="10506" width="16.7109375" customWidth="1"/>
    <col min="10507" max="10507" width="15.85546875" customWidth="1"/>
    <col min="10508" max="10508" width="14.7109375" customWidth="1"/>
    <col min="10509" max="10509" width="10.140625" bestFit="1" customWidth="1"/>
    <col min="10750" max="10750" width="6.5703125" bestFit="1" customWidth="1"/>
    <col min="10751" max="10751" width="19.140625" customWidth="1"/>
    <col min="10752" max="10752" width="16.7109375" bestFit="1" customWidth="1"/>
    <col min="10753" max="10753" width="28.140625" bestFit="1" customWidth="1"/>
    <col min="10754" max="10754" width="15.5703125" customWidth="1"/>
    <col min="10755" max="10755" width="30.28515625" customWidth="1"/>
    <col min="10756" max="10756" width="15.5703125" customWidth="1"/>
    <col min="10758" max="10758" width="18.42578125" customWidth="1"/>
    <col min="10759" max="10759" width="21.5703125" customWidth="1"/>
    <col min="10760" max="10760" width="18.28515625" customWidth="1"/>
    <col min="10761" max="10761" width="21.42578125" bestFit="1" customWidth="1"/>
    <col min="10762" max="10762" width="16.7109375" customWidth="1"/>
    <col min="10763" max="10763" width="15.85546875" customWidth="1"/>
    <col min="10764" max="10764" width="14.7109375" customWidth="1"/>
    <col min="10765" max="10765" width="10.140625" bestFit="1" customWidth="1"/>
    <col min="11006" max="11006" width="6.5703125" bestFit="1" customWidth="1"/>
    <col min="11007" max="11007" width="19.140625" customWidth="1"/>
    <col min="11008" max="11008" width="16.7109375" bestFit="1" customWidth="1"/>
    <col min="11009" max="11009" width="28.140625" bestFit="1" customWidth="1"/>
    <col min="11010" max="11010" width="15.5703125" customWidth="1"/>
    <col min="11011" max="11011" width="30.28515625" customWidth="1"/>
    <col min="11012" max="11012" width="15.5703125" customWidth="1"/>
    <col min="11014" max="11014" width="18.42578125" customWidth="1"/>
    <col min="11015" max="11015" width="21.5703125" customWidth="1"/>
    <col min="11016" max="11016" width="18.28515625" customWidth="1"/>
    <col min="11017" max="11017" width="21.42578125" bestFit="1" customWidth="1"/>
    <col min="11018" max="11018" width="16.7109375" customWidth="1"/>
    <col min="11019" max="11019" width="15.85546875" customWidth="1"/>
    <col min="11020" max="11020" width="14.7109375" customWidth="1"/>
    <col min="11021" max="11021" width="10.140625" bestFit="1" customWidth="1"/>
    <col min="11262" max="11262" width="6.5703125" bestFit="1" customWidth="1"/>
    <col min="11263" max="11263" width="19.140625" customWidth="1"/>
    <col min="11264" max="11264" width="16.7109375" bestFit="1" customWidth="1"/>
    <col min="11265" max="11265" width="28.140625" bestFit="1" customWidth="1"/>
    <col min="11266" max="11266" width="15.5703125" customWidth="1"/>
    <col min="11267" max="11267" width="30.28515625" customWidth="1"/>
    <col min="11268" max="11268" width="15.5703125" customWidth="1"/>
    <col min="11270" max="11270" width="18.42578125" customWidth="1"/>
    <col min="11271" max="11271" width="21.5703125" customWidth="1"/>
    <col min="11272" max="11272" width="18.28515625" customWidth="1"/>
    <col min="11273" max="11273" width="21.42578125" bestFit="1" customWidth="1"/>
    <col min="11274" max="11274" width="16.7109375" customWidth="1"/>
    <col min="11275" max="11275" width="15.85546875" customWidth="1"/>
    <col min="11276" max="11276" width="14.7109375" customWidth="1"/>
    <col min="11277" max="11277" width="10.140625" bestFit="1" customWidth="1"/>
    <col min="11518" max="11518" width="6.5703125" bestFit="1" customWidth="1"/>
    <col min="11519" max="11519" width="19.140625" customWidth="1"/>
    <col min="11520" max="11520" width="16.7109375" bestFit="1" customWidth="1"/>
    <col min="11521" max="11521" width="28.140625" bestFit="1" customWidth="1"/>
    <col min="11522" max="11522" width="15.5703125" customWidth="1"/>
    <col min="11523" max="11523" width="30.28515625" customWidth="1"/>
    <col min="11524" max="11524" width="15.5703125" customWidth="1"/>
    <col min="11526" max="11526" width="18.42578125" customWidth="1"/>
    <col min="11527" max="11527" width="21.5703125" customWidth="1"/>
    <col min="11528" max="11528" width="18.28515625" customWidth="1"/>
    <col min="11529" max="11529" width="21.42578125" bestFit="1" customWidth="1"/>
    <col min="11530" max="11530" width="16.7109375" customWidth="1"/>
    <col min="11531" max="11531" width="15.85546875" customWidth="1"/>
    <col min="11532" max="11532" width="14.7109375" customWidth="1"/>
    <col min="11533" max="11533" width="10.140625" bestFit="1" customWidth="1"/>
    <col min="11774" max="11774" width="6.5703125" bestFit="1" customWidth="1"/>
    <col min="11775" max="11775" width="19.140625" customWidth="1"/>
    <col min="11776" max="11776" width="16.7109375" bestFit="1" customWidth="1"/>
    <col min="11777" max="11777" width="28.140625" bestFit="1" customWidth="1"/>
    <col min="11778" max="11778" width="15.5703125" customWidth="1"/>
    <col min="11779" max="11779" width="30.28515625" customWidth="1"/>
    <col min="11780" max="11780" width="15.5703125" customWidth="1"/>
    <col min="11782" max="11782" width="18.42578125" customWidth="1"/>
    <col min="11783" max="11783" width="21.5703125" customWidth="1"/>
    <col min="11784" max="11784" width="18.28515625" customWidth="1"/>
    <col min="11785" max="11785" width="21.42578125" bestFit="1" customWidth="1"/>
    <col min="11786" max="11786" width="16.7109375" customWidth="1"/>
    <col min="11787" max="11787" width="15.85546875" customWidth="1"/>
    <col min="11788" max="11788" width="14.7109375" customWidth="1"/>
    <col min="11789" max="11789" width="10.140625" bestFit="1" customWidth="1"/>
    <col min="12030" max="12030" width="6.5703125" bestFit="1" customWidth="1"/>
    <col min="12031" max="12031" width="19.140625" customWidth="1"/>
    <col min="12032" max="12032" width="16.7109375" bestFit="1" customWidth="1"/>
    <col min="12033" max="12033" width="28.140625" bestFit="1" customWidth="1"/>
    <col min="12034" max="12034" width="15.5703125" customWidth="1"/>
    <col min="12035" max="12035" width="30.28515625" customWidth="1"/>
    <col min="12036" max="12036" width="15.5703125" customWidth="1"/>
    <col min="12038" max="12038" width="18.42578125" customWidth="1"/>
    <col min="12039" max="12039" width="21.5703125" customWidth="1"/>
    <col min="12040" max="12040" width="18.28515625" customWidth="1"/>
    <col min="12041" max="12041" width="21.42578125" bestFit="1" customWidth="1"/>
    <col min="12042" max="12042" width="16.7109375" customWidth="1"/>
    <col min="12043" max="12043" width="15.85546875" customWidth="1"/>
    <col min="12044" max="12044" width="14.7109375" customWidth="1"/>
    <col min="12045" max="12045" width="10.140625" bestFit="1" customWidth="1"/>
    <col min="12286" max="12286" width="6.5703125" bestFit="1" customWidth="1"/>
    <col min="12287" max="12287" width="19.140625" customWidth="1"/>
    <col min="12288" max="12288" width="16.7109375" bestFit="1" customWidth="1"/>
    <col min="12289" max="12289" width="28.140625" bestFit="1" customWidth="1"/>
    <col min="12290" max="12290" width="15.5703125" customWidth="1"/>
    <col min="12291" max="12291" width="30.28515625" customWidth="1"/>
    <col min="12292" max="12292" width="15.5703125" customWidth="1"/>
    <col min="12294" max="12294" width="18.42578125" customWidth="1"/>
    <col min="12295" max="12295" width="21.5703125" customWidth="1"/>
    <col min="12296" max="12296" width="18.28515625" customWidth="1"/>
    <col min="12297" max="12297" width="21.42578125" bestFit="1" customWidth="1"/>
    <col min="12298" max="12298" width="16.7109375" customWidth="1"/>
    <col min="12299" max="12299" width="15.85546875" customWidth="1"/>
    <col min="12300" max="12300" width="14.7109375" customWidth="1"/>
    <col min="12301" max="12301" width="10.140625" bestFit="1" customWidth="1"/>
    <col min="12542" max="12542" width="6.5703125" bestFit="1" customWidth="1"/>
    <col min="12543" max="12543" width="19.140625" customWidth="1"/>
    <col min="12544" max="12544" width="16.7109375" bestFit="1" customWidth="1"/>
    <col min="12545" max="12545" width="28.140625" bestFit="1" customWidth="1"/>
    <col min="12546" max="12546" width="15.5703125" customWidth="1"/>
    <col min="12547" max="12547" width="30.28515625" customWidth="1"/>
    <col min="12548" max="12548" width="15.5703125" customWidth="1"/>
    <col min="12550" max="12550" width="18.42578125" customWidth="1"/>
    <col min="12551" max="12551" width="21.5703125" customWidth="1"/>
    <col min="12552" max="12552" width="18.28515625" customWidth="1"/>
    <col min="12553" max="12553" width="21.42578125" bestFit="1" customWidth="1"/>
    <col min="12554" max="12554" width="16.7109375" customWidth="1"/>
    <col min="12555" max="12555" width="15.85546875" customWidth="1"/>
    <col min="12556" max="12556" width="14.7109375" customWidth="1"/>
    <col min="12557" max="12557" width="10.140625" bestFit="1" customWidth="1"/>
    <col min="12798" max="12798" width="6.5703125" bestFit="1" customWidth="1"/>
    <col min="12799" max="12799" width="19.140625" customWidth="1"/>
    <col min="12800" max="12800" width="16.7109375" bestFit="1" customWidth="1"/>
    <col min="12801" max="12801" width="28.140625" bestFit="1" customWidth="1"/>
    <col min="12802" max="12802" width="15.5703125" customWidth="1"/>
    <col min="12803" max="12803" width="30.28515625" customWidth="1"/>
    <col min="12804" max="12804" width="15.5703125" customWidth="1"/>
    <col min="12806" max="12806" width="18.42578125" customWidth="1"/>
    <col min="12807" max="12807" width="21.5703125" customWidth="1"/>
    <col min="12808" max="12808" width="18.28515625" customWidth="1"/>
    <col min="12809" max="12809" width="21.42578125" bestFit="1" customWidth="1"/>
    <col min="12810" max="12810" width="16.7109375" customWidth="1"/>
    <col min="12811" max="12811" width="15.85546875" customWidth="1"/>
    <col min="12812" max="12812" width="14.7109375" customWidth="1"/>
    <col min="12813" max="12813" width="10.140625" bestFit="1" customWidth="1"/>
    <col min="13054" max="13054" width="6.5703125" bestFit="1" customWidth="1"/>
    <col min="13055" max="13055" width="19.140625" customWidth="1"/>
    <col min="13056" max="13056" width="16.7109375" bestFit="1" customWidth="1"/>
    <col min="13057" max="13057" width="28.140625" bestFit="1" customWidth="1"/>
    <col min="13058" max="13058" width="15.5703125" customWidth="1"/>
    <col min="13059" max="13059" width="30.28515625" customWidth="1"/>
    <col min="13060" max="13060" width="15.5703125" customWidth="1"/>
    <col min="13062" max="13062" width="18.42578125" customWidth="1"/>
    <col min="13063" max="13063" width="21.5703125" customWidth="1"/>
    <col min="13064" max="13064" width="18.28515625" customWidth="1"/>
    <col min="13065" max="13065" width="21.42578125" bestFit="1" customWidth="1"/>
    <col min="13066" max="13066" width="16.7109375" customWidth="1"/>
    <col min="13067" max="13067" width="15.85546875" customWidth="1"/>
    <col min="13068" max="13068" width="14.7109375" customWidth="1"/>
    <col min="13069" max="13069" width="10.140625" bestFit="1" customWidth="1"/>
    <col min="13310" max="13310" width="6.5703125" bestFit="1" customWidth="1"/>
    <col min="13311" max="13311" width="19.140625" customWidth="1"/>
    <col min="13312" max="13312" width="16.7109375" bestFit="1" customWidth="1"/>
    <col min="13313" max="13313" width="28.140625" bestFit="1" customWidth="1"/>
    <col min="13314" max="13314" width="15.5703125" customWidth="1"/>
    <col min="13315" max="13315" width="30.28515625" customWidth="1"/>
    <col min="13316" max="13316" width="15.5703125" customWidth="1"/>
    <col min="13318" max="13318" width="18.42578125" customWidth="1"/>
    <col min="13319" max="13319" width="21.5703125" customWidth="1"/>
    <col min="13320" max="13320" width="18.28515625" customWidth="1"/>
    <col min="13321" max="13321" width="21.42578125" bestFit="1" customWidth="1"/>
    <col min="13322" max="13322" width="16.7109375" customWidth="1"/>
    <col min="13323" max="13323" width="15.85546875" customWidth="1"/>
    <col min="13324" max="13324" width="14.7109375" customWidth="1"/>
    <col min="13325" max="13325" width="10.140625" bestFit="1" customWidth="1"/>
    <col min="13566" max="13566" width="6.5703125" bestFit="1" customWidth="1"/>
    <col min="13567" max="13567" width="19.140625" customWidth="1"/>
    <col min="13568" max="13568" width="16.7109375" bestFit="1" customWidth="1"/>
    <col min="13569" max="13569" width="28.140625" bestFit="1" customWidth="1"/>
    <col min="13570" max="13570" width="15.5703125" customWidth="1"/>
    <col min="13571" max="13571" width="30.28515625" customWidth="1"/>
    <col min="13572" max="13572" width="15.5703125" customWidth="1"/>
    <col min="13574" max="13574" width="18.42578125" customWidth="1"/>
    <col min="13575" max="13575" width="21.5703125" customWidth="1"/>
    <col min="13576" max="13576" width="18.28515625" customWidth="1"/>
    <col min="13577" max="13577" width="21.42578125" bestFit="1" customWidth="1"/>
    <col min="13578" max="13578" width="16.7109375" customWidth="1"/>
    <col min="13579" max="13579" width="15.85546875" customWidth="1"/>
    <col min="13580" max="13580" width="14.7109375" customWidth="1"/>
    <col min="13581" max="13581" width="10.140625" bestFit="1" customWidth="1"/>
    <col min="13822" max="13822" width="6.5703125" bestFit="1" customWidth="1"/>
    <col min="13823" max="13823" width="19.140625" customWidth="1"/>
    <col min="13824" max="13824" width="16.7109375" bestFit="1" customWidth="1"/>
    <col min="13825" max="13825" width="28.140625" bestFit="1" customWidth="1"/>
    <col min="13826" max="13826" width="15.5703125" customWidth="1"/>
    <col min="13827" max="13827" width="30.28515625" customWidth="1"/>
    <col min="13828" max="13828" width="15.5703125" customWidth="1"/>
    <col min="13830" max="13830" width="18.42578125" customWidth="1"/>
    <col min="13831" max="13831" width="21.5703125" customWidth="1"/>
    <col min="13832" max="13832" width="18.28515625" customWidth="1"/>
    <col min="13833" max="13833" width="21.42578125" bestFit="1" customWidth="1"/>
    <col min="13834" max="13834" width="16.7109375" customWidth="1"/>
    <col min="13835" max="13835" width="15.85546875" customWidth="1"/>
    <col min="13836" max="13836" width="14.7109375" customWidth="1"/>
    <col min="13837" max="13837" width="10.140625" bestFit="1" customWidth="1"/>
    <col min="14078" max="14078" width="6.5703125" bestFit="1" customWidth="1"/>
    <col min="14079" max="14079" width="19.140625" customWidth="1"/>
    <col min="14080" max="14080" width="16.7109375" bestFit="1" customWidth="1"/>
    <col min="14081" max="14081" width="28.140625" bestFit="1" customWidth="1"/>
    <col min="14082" max="14082" width="15.5703125" customWidth="1"/>
    <col min="14083" max="14083" width="30.28515625" customWidth="1"/>
    <col min="14084" max="14084" width="15.5703125" customWidth="1"/>
    <col min="14086" max="14086" width="18.42578125" customWidth="1"/>
    <col min="14087" max="14087" width="21.5703125" customWidth="1"/>
    <col min="14088" max="14088" width="18.28515625" customWidth="1"/>
    <col min="14089" max="14089" width="21.42578125" bestFit="1" customWidth="1"/>
    <col min="14090" max="14090" width="16.7109375" customWidth="1"/>
    <col min="14091" max="14091" width="15.85546875" customWidth="1"/>
    <col min="14092" max="14092" width="14.7109375" customWidth="1"/>
    <col min="14093" max="14093" width="10.140625" bestFit="1" customWidth="1"/>
    <col min="14334" max="14334" width="6.5703125" bestFit="1" customWidth="1"/>
    <col min="14335" max="14335" width="19.140625" customWidth="1"/>
    <col min="14336" max="14336" width="16.7109375" bestFit="1" customWidth="1"/>
    <col min="14337" max="14337" width="28.140625" bestFit="1" customWidth="1"/>
    <col min="14338" max="14338" width="15.5703125" customWidth="1"/>
    <col min="14339" max="14339" width="30.28515625" customWidth="1"/>
    <col min="14340" max="14340" width="15.5703125" customWidth="1"/>
    <col min="14342" max="14342" width="18.42578125" customWidth="1"/>
    <col min="14343" max="14343" width="21.5703125" customWidth="1"/>
    <col min="14344" max="14344" width="18.28515625" customWidth="1"/>
    <col min="14345" max="14345" width="21.42578125" bestFit="1" customWidth="1"/>
    <col min="14346" max="14346" width="16.7109375" customWidth="1"/>
    <col min="14347" max="14347" width="15.85546875" customWidth="1"/>
    <col min="14348" max="14348" width="14.7109375" customWidth="1"/>
    <col min="14349" max="14349" width="10.140625" bestFit="1" customWidth="1"/>
    <col min="14590" max="14590" width="6.5703125" bestFit="1" customWidth="1"/>
    <col min="14591" max="14591" width="19.140625" customWidth="1"/>
    <col min="14592" max="14592" width="16.7109375" bestFit="1" customWidth="1"/>
    <col min="14593" max="14593" width="28.140625" bestFit="1" customWidth="1"/>
    <col min="14594" max="14594" width="15.5703125" customWidth="1"/>
    <col min="14595" max="14595" width="30.28515625" customWidth="1"/>
    <col min="14596" max="14596" width="15.5703125" customWidth="1"/>
    <col min="14598" max="14598" width="18.42578125" customWidth="1"/>
    <col min="14599" max="14599" width="21.5703125" customWidth="1"/>
    <col min="14600" max="14600" width="18.28515625" customWidth="1"/>
    <col min="14601" max="14601" width="21.42578125" bestFit="1" customWidth="1"/>
    <col min="14602" max="14602" width="16.7109375" customWidth="1"/>
    <col min="14603" max="14603" width="15.85546875" customWidth="1"/>
    <col min="14604" max="14604" width="14.7109375" customWidth="1"/>
    <col min="14605" max="14605" width="10.140625" bestFit="1" customWidth="1"/>
    <col min="14846" max="14846" width="6.5703125" bestFit="1" customWidth="1"/>
    <col min="14847" max="14847" width="19.140625" customWidth="1"/>
    <col min="14848" max="14848" width="16.7109375" bestFit="1" customWidth="1"/>
    <col min="14849" max="14849" width="28.140625" bestFit="1" customWidth="1"/>
    <col min="14850" max="14850" width="15.5703125" customWidth="1"/>
    <col min="14851" max="14851" width="30.28515625" customWidth="1"/>
    <col min="14852" max="14852" width="15.5703125" customWidth="1"/>
    <col min="14854" max="14854" width="18.42578125" customWidth="1"/>
    <col min="14855" max="14855" width="21.5703125" customWidth="1"/>
    <col min="14856" max="14856" width="18.28515625" customWidth="1"/>
    <col min="14857" max="14857" width="21.42578125" bestFit="1" customWidth="1"/>
    <col min="14858" max="14858" width="16.7109375" customWidth="1"/>
    <col min="14859" max="14859" width="15.85546875" customWidth="1"/>
    <col min="14860" max="14860" width="14.7109375" customWidth="1"/>
    <col min="14861" max="14861" width="10.140625" bestFit="1" customWidth="1"/>
    <col min="15102" max="15102" width="6.5703125" bestFit="1" customWidth="1"/>
    <col min="15103" max="15103" width="19.140625" customWidth="1"/>
    <col min="15104" max="15104" width="16.7109375" bestFit="1" customWidth="1"/>
    <col min="15105" max="15105" width="28.140625" bestFit="1" customWidth="1"/>
    <col min="15106" max="15106" width="15.5703125" customWidth="1"/>
    <col min="15107" max="15107" width="30.28515625" customWidth="1"/>
    <col min="15108" max="15108" width="15.5703125" customWidth="1"/>
    <col min="15110" max="15110" width="18.42578125" customWidth="1"/>
    <col min="15111" max="15111" width="21.5703125" customWidth="1"/>
    <col min="15112" max="15112" width="18.28515625" customWidth="1"/>
    <col min="15113" max="15113" width="21.42578125" bestFit="1" customWidth="1"/>
    <col min="15114" max="15114" width="16.7109375" customWidth="1"/>
    <col min="15115" max="15115" width="15.85546875" customWidth="1"/>
    <col min="15116" max="15116" width="14.7109375" customWidth="1"/>
    <col min="15117" max="15117" width="10.140625" bestFit="1" customWidth="1"/>
    <col min="15358" max="15358" width="6.5703125" bestFit="1" customWidth="1"/>
    <col min="15359" max="15359" width="19.140625" customWidth="1"/>
    <col min="15360" max="15360" width="16.7109375" bestFit="1" customWidth="1"/>
    <col min="15361" max="15361" width="28.140625" bestFit="1" customWidth="1"/>
    <col min="15362" max="15362" width="15.5703125" customWidth="1"/>
    <col min="15363" max="15363" width="30.28515625" customWidth="1"/>
    <col min="15364" max="15364" width="15.5703125" customWidth="1"/>
    <col min="15366" max="15366" width="18.42578125" customWidth="1"/>
    <col min="15367" max="15367" width="21.5703125" customWidth="1"/>
    <col min="15368" max="15368" width="18.28515625" customWidth="1"/>
    <col min="15369" max="15369" width="21.42578125" bestFit="1" customWidth="1"/>
    <col min="15370" max="15370" width="16.7109375" customWidth="1"/>
    <col min="15371" max="15371" width="15.85546875" customWidth="1"/>
    <col min="15372" max="15372" width="14.7109375" customWidth="1"/>
    <col min="15373" max="15373" width="10.140625" bestFit="1" customWidth="1"/>
    <col min="15614" max="15614" width="6.5703125" bestFit="1" customWidth="1"/>
    <col min="15615" max="15615" width="19.140625" customWidth="1"/>
    <col min="15616" max="15616" width="16.7109375" bestFit="1" customWidth="1"/>
    <col min="15617" max="15617" width="28.140625" bestFit="1" customWidth="1"/>
    <col min="15618" max="15618" width="15.5703125" customWidth="1"/>
    <col min="15619" max="15619" width="30.28515625" customWidth="1"/>
    <col min="15620" max="15620" width="15.5703125" customWidth="1"/>
    <col min="15622" max="15622" width="18.42578125" customWidth="1"/>
    <col min="15623" max="15623" width="21.5703125" customWidth="1"/>
    <col min="15624" max="15624" width="18.28515625" customWidth="1"/>
    <col min="15625" max="15625" width="21.42578125" bestFit="1" customWidth="1"/>
    <col min="15626" max="15626" width="16.7109375" customWidth="1"/>
    <col min="15627" max="15627" width="15.85546875" customWidth="1"/>
    <col min="15628" max="15628" width="14.7109375" customWidth="1"/>
    <col min="15629" max="15629" width="10.140625" bestFit="1" customWidth="1"/>
    <col min="15870" max="15870" width="6.5703125" bestFit="1" customWidth="1"/>
    <col min="15871" max="15871" width="19.140625" customWidth="1"/>
    <col min="15872" max="15872" width="16.7109375" bestFit="1" customWidth="1"/>
    <col min="15873" max="15873" width="28.140625" bestFit="1" customWidth="1"/>
    <col min="15874" max="15874" width="15.5703125" customWidth="1"/>
    <col min="15875" max="15875" width="30.28515625" customWidth="1"/>
    <col min="15876" max="15876" width="15.5703125" customWidth="1"/>
    <col min="15878" max="15878" width="18.42578125" customWidth="1"/>
    <col min="15879" max="15879" width="21.5703125" customWidth="1"/>
    <col min="15880" max="15880" width="18.28515625" customWidth="1"/>
    <col min="15881" max="15881" width="21.42578125" bestFit="1" customWidth="1"/>
    <col min="15882" max="15882" width="16.7109375" customWidth="1"/>
    <col min="15883" max="15883" width="15.85546875" customWidth="1"/>
    <col min="15884" max="15884" width="14.7109375" customWidth="1"/>
    <col min="15885" max="15885" width="10.140625" bestFit="1" customWidth="1"/>
    <col min="16126" max="16126" width="6.5703125" bestFit="1" customWidth="1"/>
    <col min="16127" max="16127" width="19.140625" customWidth="1"/>
    <col min="16128" max="16128" width="16.7109375" bestFit="1" customWidth="1"/>
    <col min="16129" max="16129" width="28.140625" bestFit="1" customWidth="1"/>
    <col min="16130" max="16130" width="15.5703125" customWidth="1"/>
    <col min="16131" max="16131" width="30.28515625" customWidth="1"/>
    <col min="16132" max="16132" width="15.5703125" customWidth="1"/>
    <col min="16134" max="16134" width="18.42578125" customWidth="1"/>
    <col min="16135" max="16135" width="21.5703125" customWidth="1"/>
    <col min="16136" max="16136" width="18.28515625" customWidth="1"/>
    <col min="16137" max="16137" width="21.42578125" bestFit="1" customWidth="1"/>
    <col min="16138" max="16138" width="16.7109375" customWidth="1"/>
    <col min="16139" max="16139" width="15.85546875" customWidth="1"/>
    <col min="16140" max="16140" width="14.7109375" customWidth="1"/>
    <col min="16141" max="16141" width="10.140625" bestFit="1" customWidth="1"/>
  </cols>
  <sheetData>
    <row r="1" spans="2:20" s="1" customFormat="1" ht="51" customHeight="1">
      <c r="B1" s="70"/>
      <c r="D1" s="184" t="s">
        <v>61</v>
      </c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</row>
    <row r="2" spans="2:20" s="1" customFormat="1" ht="48" customHeight="1">
      <c r="D2" s="185" t="s">
        <v>0</v>
      </c>
      <c r="E2" s="186"/>
      <c r="F2" s="186"/>
      <c r="G2" s="186"/>
      <c r="H2" s="186"/>
      <c r="I2" s="186"/>
      <c r="J2" s="187"/>
      <c r="K2" s="185" t="s">
        <v>161</v>
      </c>
      <c r="L2" s="186"/>
      <c r="M2" s="186"/>
      <c r="N2" s="186"/>
      <c r="O2" s="186"/>
      <c r="P2" s="186"/>
      <c r="Q2" s="187"/>
    </row>
    <row r="3" spans="2:20" s="1" customFormat="1" ht="150.75">
      <c r="D3" s="3" t="s">
        <v>2</v>
      </c>
      <c r="E3" s="4" t="s">
        <v>3</v>
      </c>
      <c r="F3" s="4" t="s">
        <v>4</v>
      </c>
      <c r="G3" s="5" t="s">
        <v>5</v>
      </c>
      <c r="H3" s="5" t="s">
        <v>163</v>
      </c>
      <c r="I3" s="6" t="s">
        <v>7</v>
      </c>
      <c r="J3" s="7" t="s">
        <v>8</v>
      </c>
      <c r="K3" s="3" t="s">
        <v>2</v>
      </c>
      <c r="L3" s="4" t="s">
        <v>4</v>
      </c>
      <c r="M3" s="180" t="s">
        <v>3</v>
      </c>
      <c r="N3" s="5" t="s">
        <v>6</v>
      </c>
      <c r="O3" s="5" t="s">
        <v>5</v>
      </c>
      <c r="P3" s="7" t="s">
        <v>9</v>
      </c>
      <c r="Q3" s="8" t="s">
        <v>10</v>
      </c>
      <c r="R3" s="163" t="s">
        <v>162</v>
      </c>
    </row>
    <row r="4" spans="2:20">
      <c r="D4" s="9"/>
      <c r="E4" s="9"/>
      <c r="F4" s="2"/>
      <c r="G4" s="2"/>
      <c r="H4" s="38"/>
      <c r="I4" s="38"/>
      <c r="J4" s="38"/>
      <c r="K4" s="9"/>
      <c r="L4" s="9"/>
      <c r="M4" s="9"/>
      <c r="N4" s="9"/>
      <c r="O4" s="9"/>
      <c r="P4" s="10"/>
      <c r="Q4" s="9"/>
    </row>
    <row r="5" spans="2:20" ht="18.75">
      <c r="D5" s="11">
        <v>1</v>
      </c>
      <c r="E5" s="12" t="s">
        <v>11</v>
      </c>
      <c r="F5" s="15" t="s">
        <v>106</v>
      </c>
      <c r="G5" s="21">
        <v>126.79</v>
      </c>
      <c r="H5" s="137">
        <v>0</v>
      </c>
      <c r="I5" s="16"/>
      <c r="J5" s="40">
        <f>G5-H5</f>
        <v>126.79</v>
      </c>
      <c r="K5" s="11">
        <v>1</v>
      </c>
      <c r="L5" s="32" t="s">
        <v>11</v>
      </c>
      <c r="M5" s="54" t="s">
        <v>68</v>
      </c>
      <c r="N5" s="51">
        <v>4908.45</v>
      </c>
      <c r="O5" s="52">
        <v>4908.45</v>
      </c>
      <c r="P5" s="56"/>
      <c r="Q5" s="52">
        <f t="shared" ref="Q5:Q40" si="0">N5-O5</f>
        <v>0</v>
      </c>
      <c r="T5" s="14"/>
    </row>
    <row r="6" spans="2:20" ht="18.75">
      <c r="D6" s="11"/>
      <c r="E6" s="12"/>
      <c r="F6" s="15"/>
      <c r="G6" s="21"/>
      <c r="H6" s="21"/>
      <c r="I6" s="16"/>
      <c r="J6" s="22"/>
      <c r="K6" s="11"/>
      <c r="L6" s="32"/>
      <c r="M6" s="54" t="s">
        <v>81</v>
      </c>
      <c r="N6" s="51">
        <v>28415.68</v>
      </c>
      <c r="O6" s="52">
        <v>28415.68</v>
      </c>
      <c r="P6" s="56"/>
      <c r="Q6" s="52">
        <f t="shared" si="0"/>
        <v>0</v>
      </c>
      <c r="T6" s="14"/>
    </row>
    <row r="7" spans="2:20" ht="18.75">
      <c r="D7" s="11"/>
      <c r="E7" s="12"/>
      <c r="F7" s="15"/>
      <c r="G7" s="21"/>
      <c r="H7" s="21"/>
      <c r="I7" s="16"/>
      <c r="J7" s="22"/>
      <c r="K7" s="11"/>
      <c r="L7" s="32"/>
      <c r="M7" s="54" t="s">
        <v>84</v>
      </c>
      <c r="N7" s="51">
        <v>27118.87</v>
      </c>
      <c r="O7" s="52">
        <v>27118.87</v>
      </c>
      <c r="P7" s="56"/>
      <c r="Q7" s="52">
        <f t="shared" si="0"/>
        <v>0</v>
      </c>
      <c r="T7" s="14"/>
    </row>
    <row r="8" spans="2:20" ht="18.75">
      <c r="D8" s="11"/>
      <c r="E8" s="12"/>
      <c r="F8" s="15"/>
      <c r="G8" s="21"/>
      <c r="H8" s="21"/>
      <c r="I8" s="16"/>
      <c r="J8" s="22"/>
      <c r="K8" s="11"/>
      <c r="L8" s="32"/>
      <c r="M8" s="54" t="s">
        <v>87</v>
      </c>
      <c r="N8" s="51">
        <v>4606.6099999999997</v>
      </c>
      <c r="O8" s="52">
        <v>4606.6099999999997</v>
      </c>
      <c r="P8" s="56"/>
      <c r="Q8" s="52">
        <f t="shared" si="0"/>
        <v>0</v>
      </c>
      <c r="T8" s="14"/>
    </row>
    <row r="9" spans="2:20" ht="18.75">
      <c r="D9" s="11"/>
      <c r="E9" s="12"/>
      <c r="F9" s="15"/>
      <c r="G9" s="21"/>
      <c r="H9" s="21"/>
      <c r="I9" s="16"/>
      <c r="J9" s="22"/>
      <c r="K9" s="11"/>
      <c r="L9" s="32"/>
      <c r="M9" s="54" t="s">
        <v>95</v>
      </c>
      <c r="N9" s="51">
        <v>11738.03</v>
      </c>
      <c r="O9" s="52">
        <v>11738.03</v>
      </c>
      <c r="P9" s="56"/>
      <c r="Q9" s="52">
        <f t="shared" si="0"/>
        <v>0</v>
      </c>
      <c r="T9" s="14"/>
    </row>
    <row r="10" spans="2:20" ht="18.75">
      <c r="D10" s="11"/>
      <c r="E10" s="12"/>
      <c r="F10" s="15"/>
      <c r="G10" s="21"/>
      <c r="H10" s="21"/>
      <c r="I10" s="16"/>
      <c r="J10" s="22"/>
      <c r="K10" s="11"/>
      <c r="L10" s="169">
        <f>Q10*100/O10</f>
        <v>-75.0961052654702</v>
      </c>
      <c r="M10" s="142" t="s">
        <v>130</v>
      </c>
      <c r="N10" s="137">
        <v>1927.29</v>
      </c>
      <c r="O10" s="144">
        <v>7738.91</v>
      </c>
      <c r="P10" s="147"/>
      <c r="Q10" s="144">
        <f t="shared" si="0"/>
        <v>-5811.62</v>
      </c>
      <c r="R10" s="153"/>
      <c r="T10" s="14"/>
    </row>
    <row r="11" spans="2:20" ht="18.75">
      <c r="D11" s="11"/>
      <c r="E11" s="12"/>
      <c r="F11" s="15"/>
      <c r="G11" s="21"/>
      <c r="H11" s="21"/>
      <c r="I11" s="16"/>
      <c r="J11" s="22"/>
      <c r="K11" s="11"/>
      <c r="L11" s="170"/>
      <c r="M11" s="54" t="s">
        <v>21</v>
      </c>
      <c r="N11" s="51">
        <v>7810.95</v>
      </c>
      <c r="O11" s="52">
        <v>7810.95</v>
      </c>
      <c r="P11" s="56"/>
      <c r="Q11" s="52">
        <f t="shared" si="0"/>
        <v>0</v>
      </c>
      <c r="T11" s="14"/>
    </row>
    <row r="12" spans="2:20" ht="18.75">
      <c r="D12" s="11"/>
      <c r="E12" s="12"/>
      <c r="F12" s="15"/>
      <c r="G12" s="21"/>
      <c r="H12" s="21"/>
      <c r="I12" s="16"/>
      <c r="J12" s="22"/>
      <c r="K12" s="11"/>
      <c r="L12" s="170"/>
      <c r="M12" s="54" t="s">
        <v>43</v>
      </c>
      <c r="N12" s="51">
        <v>54258.63</v>
      </c>
      <c r="O12" s="52">
        <v>54258.63</v>
      </c>
      <c r="P12" s="56"/>
      <c r="Q12" s="52">
        <f t="shared" si="0"/>
        <v>0</v>
      </c>
      <c r="T12" s="14"/>
    </row>
    <row r="13" spans="2:20" ht="18.75">
      <c r="D13" s="11"/>
      <c r="E13" s="12"/>
      <c r="F13" s="15"/>
      <c r="G13" s="21"/>
      <c r="H13" s="21"/>
      <c r="I13" s="16"/>
      <c r="J13" s="22"/>
      <c r="K13" s="11"/>
      <c r="L13" s="170"/>
      <c r="M13" s="54" t="s">
        <v>119</v>
      </c>
      <c r="N13" s="51">
        <v>121048.89</v>
      </c>
      <c r="O13" s="52">
        <v>121048.89</v>
      </c>
      <c r="P13" s="56"/>
      <c r="Q13" s="52">
        <f t="shared" si="0"/>
        <v>0</v>
      </c>
      <c r="T13" s="14"/>
    </row>
    <row r="14" spans="2:20" ht="18.75">
      <c r="D14" s="11"/>
      <c r="E14" s="12"/>
      <c r="F14" s="15"/>
      <c r="G14" s="21"/>
      <c r="H14" s="21"/>
      <c r="I14" s="16"/>
      <c r="J14" s="22"/>
      <c r="K14" s="11"/>
      <c r="L14" s="170"/>
      <c r="M14" s="54" t="s">
        <v>47</v>
      </c>
      <c r="N14" s="51">
        <v>298.42</v>
      </c>
      <c r="O14" s="52">
        <v>298.42</v>
      </c>
      <c r="P14" s="56"/>
      <c r="Q14" s="52">
        <f t="shared" si="0"/>
        <v>0</v>
      </c>
      <c r="T14" s="14"/>
    </row>
    <row r="15" spans="2:20" ht="18.75">
      <c r="D15" s="11"/>
      <c r="E15" s="12"/>
      <c r="F15" s="15"/>
      <c r="G15" s="21"/>
      <c r="H15" s="21"/>
      <c r="I15" s="16"/>
      <c r="J15" s="22"/>
      <c r="K15" s="11"/>
      <c r="L15" s="169">
        <f>Q15*100/O15</f>
        <v>16.379523562297635</v>
      </c>
      <c r="M15" s="142" t="s">
        <v>120</v>
      </c>
      <c r="N15" s="137">
        <v>10445.969999999999</v>
      </c>
      <c r="O15" s="144">
        <v>8975.7800000000007</v>
      </c>
      <c r="P15" s="147"/>
      <c r="Q15" s="144">
        <f t="shared" si="0"/>
        <v>1470.1899999999987</v>
      </c>
      <c r="T15" s="14"/>
    </row>
    <row r="16" spans="2:20" ht="18.75">
      <c r="D16" s="11"/>
      <c r="E16" s="12"/>
      <c r="F16" s="15"/>
      <c r="G16" s="21"/>
      <c r="H16" s="21"/>
      <c r="I16" s="16"/>
      <c r="J16" s="22"/>
      <c r="K16" s="11"/>
      <c r="L16" s="170"/>
      <c r="M16" s="54" t="s">
        <v>20</v>
      </c>
      <c r="N16" s="51">
        <v>119891.81</v>
      </c>
      <c r="O16" s="52">
        <v>119891.81</v>
      </c>
      <c r="P16" s="56"/>
      <c r="Q16" s="52">
        <f t="shared" si="0"/>
        <v>0</v>
      </c>
      <c r="T16" s="14"/>
    </row>
    <row r="17" spans="4:20" ht="18.75">
      <c r="D17" s="11"/>
      <c r="E17" s="12"/>
      <c r="F17" s="15"/>
      <c r="G17" s="21"/>
      <c r="H17" s="21"/>
      <c r="I17" s="16"/>
      <c r="J17" s="22"/>
      <c r="K17" s="11"/>
      <c r="L17" s="169">
        <f>Q17*100/O17</f>
        <v>-46.927370519426795</v>
      </c>
      <c r="M17" s="142" t="s">
        <v>48</v>
      </c>
      <c r="N17" s="137">
        <v>7055.2099999999991</v>
      </c>
      <c r="O17" s="144">
        <v>13293.5</v>
      </c>
      <c r="P17" s="147"/>
      <c r="Q17" s="144">
        <f t="shared" si="0"/>
        <v>-6238.2900000000009</v>
      </c>
      <c r="T17" s="14"/>
    </row>
    <row r="18" spans="4:20" ht="18.75">
      <c r="D18" s="11"/>
      <c r="E18" s="12"/>
      <c r="F18" s="15"/>
      <c r="G18" s="21"/>
      <c r="H18" s="21"/>
      <c r="I18" s="16"/>
      <c r="J18" s="22"/>
      <c r="K18" s="11"/>
      <c r="L18" s="32"/>
      <c r="M18" s="54" t="s">
        <v>42</v>
      </c>
      <c r="N18" s="51">
        <v>19098.38</v>
      </c>
      <c r="O18" s="52">
        <v>19098.38</v>
      </c>
      <c r="P18" s="56"/>
      <c r="Q18" s="52">
        <f t="shared" si="0"/>
        <v>0</v>
      </c>
      <c r="T18" s="14"/>
    </row>
    <row r="19" spans="4:20" ht="18.75">
      <c r="D19" s="11"/>
      <c r="E19" s="12"/>
      <c r="F19" s="15"/>
      <c r="G19" s="21"/>
      <c r="H19" s="21"/>
      <c r="I19" s="16"/>
      <c r="J19" s="22"/>
      <c r="K19" s="11"/>
      <c r="L19" s="32"/>
      <c r="M19" s="15"/>
      <c r="N19" s="21"/>
      <c r="O19" s="34"/>
      <c r="P19" s="47">
        <f>SUM(N5:N18)</f>
        <v>418623.19</v>
      </c>
      <c r="Q19" s="34"/>
      <c r="T19" s="14"/>
    </row>
    <row r="20" spans="4:20" ht="18.75">
      <c r="D20" s="11"/>
      <c r="E20" s="12"/>
      <c r="F20" s="15"/>
      <c r="G20" s="21"/>
      <c r="H20" s="21"/>
      <c r="I20" s="16"/>
      <c r="J20" s="22"/>
      <c r="K20" s="11"/>
      <c r="L20" s="32"/>
      <c r="M20" s="15"/>
      <c r="N20" s="21"/>
      <c r="O20" s="34"/>
      <c r="P20" s="47"/>
      <c r="Q20" s="34"/>
      <c r="T20" s="14"/>
    </row>
    <row r="21" spans="4:20" ht="18.75">
      <c r="D21" s="11"/>
      <c r="E21" s="12"/>
      <c r="F21" s="15"/>
      <c r="G21" s="21"/>
      <c r="H21" s="21"/>
      <c r="I21" s="16"/>
      <c r="J21" s="22"/>
      <c r="K21" s="11"/>
      <c r="L21" s="32"/>
      <c r="M21" s="15"/>
      <c r="N21" s="21"/>
      <c r="O21" s="34"/>
      <c r="P21" s="47"/>
      <c r="Q21" s="34"/>
      <c r="T21" s="14"/>
    </row>
    <row r="22" spans="4:20" ht="18.75">
      <c r="D22" s="11"/>
      <c r="E22" s="12"/>
      <c r="F22" s="15"/>
      <c r="G22" s="21"/>
      <c r="H22" s="21"/>
      <c r="I22" s="16"/>
      <c r="J22" s="22"/>
      <c r="K22" s="11"/>
      <c r="L22" s="32"/>
      <c r="M22" s="15"/>
      <c r="N22" s="21"/>
      <c r="O22" s="34"/>
      <c r="P22" s="47"/>
      <c r="Q22" s="34"/>
      <c r="T22" s="14"/>
    </row>
    <row r="23" spans="4:20" ht="18.75">
      <c r="D23" s="11">
        <v>2</v>
      </c>
      <c r="E23" s="12" t="s">
        <v>12</v>
      </c>
      <c r="F23" s="71" t="s">
        <v>99</v>
      </c>
      <c r="G23" s="138"/>
      <c r="H23" s="74">
        <v>1423.66</v>
      </c>
      <c r="I23" s="66"/>
      <c r="J23" s="68">
        <f>G23-H23</f>
        <v>-1423.66</v>
      </c>
      <c r="K23" s="11">
        <v>2</v>
      </c>
      <c r="L23" s="12" t="s">
        <v>12</v>
      </c>
      <c r="M23" s="63" t="s">
        <v>84</v>
      </c>
      <c r="N23" s="59">
        <v>7676</v>
      </c>
      <c r="O23" s="59">
        <v>7676</v>
      </c>
      <c r="P23" s="56"/>
      <c r="Q23" s="52">
        <f t="shared" si="0"/>
        <v>0</v>
      </c>
      <c r="R23" s="19">
        <v>7676</v>
      </c>
      <c r="S23" s="19">
        <f>N23-R23</f>
        <v>0</v>
      </c>
    </row>
    <row r="24" spans="4:20" ht="18.75">
      <c r="D24" s="11"/>
      <c r="E24" s="12"/>
      <c r="F24" s="71" t="s">
        <v>116</v>
      </c>
      <c r="G24" s="138"/>
      <c r="H24" s="74">
        <v>3278.9088000000002</v>
      </c>
      <c r="I24" s="66"/>
      <c r="J24" s="68">
        <f>G24-H24</f>
        <v>-3278.9088000000002</v>
      </c>
      <c r="K24" s="11"/>
      <c r="L24" s="12"/>
      <c r="M24" s="63" t="s">
        <v>87</v>
      </c>
      <c r="N24" s="59">
        <v>37991.64</v>
      </c>
      <c r="O24" s="59">
        <v>37991.64</v>
      </c>
      <c r="P24" s="56"/>
      <c r="Q24" s="52">
        <f t="shared" si="0"/>
        <v>0</v>
      </c>
      <c r="R24" s="19">
        <v>37991.64</v>
      </c>
      <c r="S24" s="19">
        <f t="shared" ref="S24:S40" si="1">N24-R24</f>
        <v>0</v>
      </c>
    </row>
    <row r="25" spans="4:20" ht="18.75">
      <c r="D25" s="11"/>
      <c r="E25" s="12"/>
      <c r="F25" s="71" t="s">
        <v>74</v>
      </c>
      <c r="G25" s="138"/>
      <c r="H25" s="74">
        <v>68261.23</v>
      </c>
      <c r="I25" s="66"/>
      <c r="J25" s="68">
        <f>G25-H25</f>
        <v>-68261.23</v>
      </c>
      <c r="K25" s="11"/>
      <c r="L25" s="12"/>
      <c r="M25" s="63" t="s">
        <v>90</v>
      </c>
      <c r="N25" s="59">
        <v>27908.25</v>
      </c>
      <c r="O25" s="59">
        <v>27908.25</v>
      </c>
      <c r="P25" s="56"/>
      <c r="Q25" s="52">
        <f t="shared" si="0"/>
        <v>0</v>
      </c>
      <c r="R25" s="19">
        <v>27908.25</v>
      </c>
      <c r="S25" s="19">
        <f t="shared" si="1"/>
        <v>0</v>
      </c>
    </row>
    <row r="26" spans="4:20" ht="18.75">
      <c r="D26" s="11"/>
      <c r="E26" s="12"/>
      <c r="F26" s="23"/>
      <c r="G26" s="29"/>
      <c r="H26" s="29"/>
      <c r="I26" s="16"/>
      <c r="J26" s="22"/>
      <c r="K26" s="11"/>
      <c r="L26" s="12"/>
      <c r="M26" s="63" t="s">
        <v>95</v>
      </c>
      <c r="N26" s="59">
        <v>73967.77</v>
      </c>
      <c r="O26" s="59">
        <v>73967.77</v>
      </c>
      <c r="P26" s="56"/>
      <c r="Q26" s="52">
        <f t="shared" si="0"/>
        <v>0</v>
      </c>
      <c r="R26" s="19">
        <v>73967.77</v>
      </c>
      <c r="S26" s="19">
        <f t="shared" si="1"/>
        <v>0</v>
      </c>
    </row>
    <row r="27" spans="4:20" ht="18.75">
      <c r="D27" s="11"/>
      <c r="E27" s="12"/>
      <c r="F27" s="23"/>
      <c r="G27" s="29"/>
      <c r="H27" s="29"/>
      <c r="I27" s="16"/>
      <c r="J27" s="22"/>
      <c r="K27" s="11"/>
      <c r="L27" s="12"/>
      <c r="M27" s="63" t="s">
        <v>102</v>
      </c>
      <c r="N27" s="59">
        <f>12209.95+12828.41</f>
        <v>25038.36</v>
      </c>
      <c r="O27" s="59">
        <v>25038.36</v>
      </c>
      <c r="P27" s="56"/>
      <c r="Q27" s="52">
        <f t="shared" si="0"/>
        <v>0</v>
      </c>
      <c r="R27" s="19">
        <v>25038.36</v>
      </c>
      <c r="S27" s="19">
        <f t="shared" si="1"/>
        <v>0</v>
      </c>
    </row>
    <row r="28" spans="4:20" ht="18.75">
      <c r="D28" s="11"/>
      <c r="E28" s="12"/>
      <c r="F28" s="23"/>
      <c r="G28" s="29"/>
      <c r="H28" s="29"/>
      <c r="I28" s="16"/>
      <c r="J28" s="22"/>
      <c r="K28" s="11"/>
      <c r="L28" s="12"/>
      <c r="M28" s="154" t="s">
        <v>111</v>
      </c>
      <c r="N28" s="138">
        <v>2625.74</v>
      </c>
      <c r="O28" s="138"/>
      <c r="P28" s="147"/>
      <c r="Q28" s="144">
        <f t="shared" si="0"/>
        <v>2625.74</v>
      </c>
      <c r="R28" s="19">
        <v>2625.74</v>
      </c>
      <c r="S28" s="19">
        <f t="shared" si="1"/>
        <v>0</v>
      </c>
    </row>
    <row r="29" spans="4:20" ht="18.75">
      <c r="D29" s="11"/>
      <c r="E29" s="12"/>
      <c r="F29" s="23"/>
      <c r="G29" s="29"/>
      <c r="H29" s="29"/>
      <c r="I29" s="16"/>
      <c r="J29" s="22"/>
      <c r="K29" s="11"/>
      <c r="L29" s="12"/>
      <c r="M29" s="63" t="s">
        <v>94</v>
      </c>
      <c r="N29" s="59">
        <v>80230.36</v>
      </c>
      <c r="O29" s="59">
        <v>80230.36</v>
      </c>
      <c r="P29" s="56"/>
      <c r="Q29" s="52">
        <f t="shared" si="0"/>
        <v>0</v>
      </c>
      <c r="R29" s="19">
        <v>80230.36</v>
      </c>
      <c r="S29" s="19">
        <f t="shared" si="1"/>
        <v>0</v>
      </c>
    </row>
    <row r="30" spans="4:20" ht="18.75">
      <c r="D30" s="11"/>
      <c r="E30" s="12"/>
      <c r="F30" s="23"/>
      <c r="G30" s="29"/>
      <c r="H30" s="29"/>
      <c r="I30" s="16"/>
      <c r="J30" s="22"/>
      <c r="K30" s="11"/>
      <c r="L30" s="12"/>
      <c r="M30" s="63" t="s">
        <v>112</v>
      </c>
      <c r="N30" s="59">
        <v>5404.96</v>
      </c>
      <c r="O30" s="59">
        <v>5404.96</v>
      </c>
      <c r="P30" s="56"/>
      <c r="Q30" s="52">
        <f t="shared" si="0"/>
        <v>0</v>
      </c>
      <c r="R30" s="19">
        <v>5404.96</v>
      </c>
      <c r="S30" s="19">
        <f t="shared" si="1"/>
        <v>0</v>
      </c>
    </row>
    <row r="31" spans="4:20" ht="18.75">
      <c r="D31" s="11"/>
      <c r="E31" s="12"/>
      <c r="F31" s="23"/>
      <c r="G31" s="29"/>
      <c r="H31" s="29"/>
      <c r="I31" s="16"/>
      <c r="J31" s="22"/>
      <c r="K31" s="11"/>
      <c r="L31" s="12"/>
      <c r="M31" s="63" t="s">
        <v>113</v>
      </c>
      <c r="N31" s="59">
        <v>8699.5499999999993</v>
      </c>
      <c r="O31" s="59">
        <v>8699.5499999999993</v>
      </c>
      <c r="P31" s="56"/>
      <c r="Q31" s="52">
        <f t="shared" si="0"/>
        <v>0</v>
      </c>
      <c r="R31" s="19">
        <v>8699.5499999999993</v>
      </c>
      <c r="S31" s="19">
        <f t="shared" si="1"/>
        <v>0</v>
      </c>
    </row>
    <row r="32" spans="4:20" ht="18.75">
      <c r="D32" s="11"/>
      <c r="E32" s="12"/>
      <c r="F32" s="23"/>
      <c r="G32" s="29"/>
      <c r="H32" s="29"/>
      <c r="I32" s="16"/>
      <c r="J32" s="22"/>
      <c r="K32" s="11"/>
      <c r="L32" s="12"/>
      <c r="M32" s="154" t="s">
        <v>114</v>
      </c>
      <c r="N32" s="138">
        <v>2935.32</v>
      </c>
      <c r="O32" s="138">
        <v>2634.1600000000003</v>
      </c>
      <c r="P32" s="147"/>
      <c r="Q32" s="144">
        <f t="shared" si="0"/>
        <v>301.15999999999985</v>
      </c>
      <c r="R32" s="19">
        <v>2935.32</v>
      </c>
      <c r="S32" s="19">
        <f t="shared" si="1"/>
        <v>0</v>
      </c>
    </row>
    <row r="33" spans="2:19" ht="18.75">
      <c r="D33" s="11"/>
      <c r="E33" s="12"/>
      <c r="F33" s="23"/>
      <c r="G33" s="29"/>
      <c r="H33" s="29"/>
      <c r="I33" s="16"/>
      <c r="J33" s="22"/>
      <c r="K33" s="11"/>
      <c r="L33" s="12"/>
      <c r="M33" s="63" t="s">
        <v>115</v>
      </c>
      <c r="N33" s="59">
        <v>3182.88</v>
      </c>
      <c r="O33" s="59">
        <v>3182.88</v>
      </c>
      <c r="P33" s="56"/>
      <c r="Q33" s="52">
        <f t="shared" si="0"/>
        <v>0</v>
      </c>
      <c r="R33" s="19">
        <v>3182.88</v>
      </c>
      <c r="S33" s="19">
        <f t="shared" si="1"/>
        <v>0</v>
      </c>
    </row>
    <row r="34" spans="2:19" ht="18.75">
      <c r="D34" s="11"/>
      <c r="E34" s="12"/>
      <c r="F34" s="23"/>
      <c r="G34" s="29"/>
      <c r="H34" s="29"/>
      <c r="I34" s="16"/>
      <c r="J34" s="22"/>
      <c r="K34" s="11"/>
      <c r="L34" s="12"/>
      <c r="M34" s="63" t="s">
        <v>104</v>
      </c>
      <c r="N34" s="59">
        <v>128211.95</v>
      </c>
      <c r="O34" s="59">
        <v>128211.95</v>
      </c>
      <c r="P34" s="56"/>
      <c r="Q34" s="52">
        <f t="shared" si="0"/>
        <v>0</v>
      </c>
      <c r="R34" s="19">
        <v>128211.95000000001</v>
      </c>
      <c r="S34" s="19">
        <f t="shared" si="1"/>
        <v>0</v>
      </c>
    </row>
    <row r="35" spans="2:19" ht="18.75">
      <c r="D35" s="11"/>
      <c r="E35" s="12"/>
      <c r="F35" s="23"/>
      <c r="G35" s="29"/>
      <c r="H35" s="29"/>
      <c r="I35" s="16"/>
      <c r="J35" s="22"/>
      <c r="K35" s="11"/>
      <c r="L35" s="12"/>
      <c r="M35" s="63" t="s">
        <v>98</v>
      </c>
      <c r="N35" s="59">
        <v>343597.48</v>
      </c>
      <c r="O35" s="59">
        <v>343597.48</v>
      </c>
      <c r="P35" s="56"/>
      <c r="Q35" s="52">
        <f t="shared" si="0"/>
        <v>0</v>
      </c>
      <c r="R35" s="19">
        <v>343597.47999999992</v>
      </c>
      <c r="S35" s="19">
        <f t="shared" si="1"/>
        <v>0</v>
      </c>
    </row>
    <row r="36" spans="2:19" ht="18.75">
      <c r="D36" s="11"/>
      <c r="E36" s="12"/>
      <c r="F36" s="23"/>
      <c r="G36" s="29"/>
      <c r="H36" s="29"/>
      <c r="I36" s="16"/>
      <c r="J36" s="22"/>
      <c r="K36" s="11"/>
      <c r="L36" s="12"/>
      <c r="M36" s="154" t="s">
        <v>116</v>
      </c>
      <c r="N36" s="138">
        <v>162335.70000000001</v>
      </c>
      <c r="O36" s="138">
        <v>162335.76</v>
      </c>
      <c r="P36" s="147"/>
      <c r="Q36" s="144">
        <f t="shared" si="0"/>
        <v>-5.9999999997671694E-2</v>
      </c>
      <c r="R36" s="19">
        <v>162335.70000000001</v>
      </c>
      <c r="S36" s="19">
        <f t="shared" si="1"/>
        <v>0</v>
      </c>
    </row>
    <row r="37" spans="2:19" ht="18.75">
      <c r="D37" s="11"/>
      <c r="E37" s="12"/>
      <c r="F37" s="23"/>
      <c r="G37" s="29"/>
      <c r="H37" s="29"/>
      <c r="I37" s="16"/>
      <c r="J37" s="22"/>
      <c r="K37" s="11"/>
      <c r="L37" s="12"/>
      <c r="M37" s="63" t="s">
        <v>117</v>
      </c>
      <c r="N37" s="59">
        <v>5914.67</v>
      </c>
      <c r="O37" s="59">
        <v>5914.67</v>
      </c>
      <c r="P37" s="56"/>
      <c r="Q37" s="52">
        <f t="shared" si="0"/>
        <v>0</v>
      </c>
      <c r="R37" s="19">
        <v>5914.67</v>
      </c>
      <c r="S37" s="19">
        <f t="shared" si="1"/>
        <v>0</v>
      </c>
    </row>
    <row r="38" spans="2:19" ht="18.75">
      <c r="D38" s="11"/>
      <c r="E38" s="12"/>
      <c r="F38" s="23"/>
      <c r="G38" s="29"/>
      <c r="H38" s="29"/>
      <c r="I38" s="16"/>
      <c r="J38" s="22"/>
      <c r="K38" s="11"/>
      <c r="L38" s="12"/>
      <c r="M38" s="63" t="s">
        <v>101</v>
      </c>
      <c r="N38" s="59">
        <v>32238.11</v>
      </c>
      <c r="O38" s="59">
        <v>32238.11</v>
      </c>
      <c r="P38" s="56"/>
      <c r="Q38" s="52">
        <f t="shared" si="0"/>
        <v>0</v>
      </c>
      <c r="R38" s="19">
        <v>32238.11</v>
      </c>
      <c r="S38" s="19">
        <f t="shared" si="1"/>
        <v>0</v>
      </c>
    </row>
    <row r="39" spans="2:19" ht="18.75">
      <c r="D39" s="11"/>
      <c r="E39" s="12"/>
      <c r="F39" s="23"/>
      <c r="G39" s="29"/>
      <c r="H39" s="29"/>
      <c r="I39" s="16"/>
      <c r="J39" s="22"/>
      <c r="K39" s="11"/>
      <c r="L39" s="12"/>
      <c r="M39" s="154" t="s">
        <v>118</v>
      </c>
      <c r="N39" s="138">
        <v>37875.629999999997</v>
      </c>
      <c r="O39" s="155">
        <f>12921.48+12816.09+15271.88</f>
        <v>41009.449999999997</v>
      </c>
      <c r="P39" s="147"/>
      <c r="Q39" s="144">
        <f t="shared" si="0"/>
        <v>-3133.8199999999997</v>
      </c>
      <c r="R39" s="19">
        <v>37875.629999999997</v>
      </c>
      <c r="S39" s="19">
        <f t="shared" si="1"/>
        <v>0</v>
      </c>
    </row>
    <row r="40" spans="2:19" ht="18.75">
      <c r="D40" s="11"/>
      <c r="E40" s="12"/>
      <c r="F40" s="23"/>
      <c r="G40" s="29"/>
      <c r="H40" s="29"/>
      <c r="I40" s="16"/>
      <c r="J40" s="22"/>
      <c r="K40" s="11"/>
      <c r="L40" s="12"/>
      <c r="M40" s="63" t="s">
        <v>99</v>
      </c>
      <c r="N40" s="59">
        <v>12812.46</v>
      </c>
      <c r="O40" s="59">
        <v>12812.46</v>
      </c>
      <c r="P40" s="56"/>
      <c r="Q40" s="52">
        <f t="shared" si="0"/>
        <v>0</v>
      </c>
      <c r="R40" s="19">
        <v>12812.46</v>
      </c>
      <c r="S40" s="19">
        <f t="shared" si="1"/>
        <v>0</v>
      </c>
    </row>
    <row r="41" spans="2:19" ht="18.75">
      <c r="D41" s="11"/>
      <c r="E41" s="12"/>
      <c r="F41" s="23"/>
      <c r="G41" s="29"/>
      <c r="H41" s="29"/>
      <c r="I41" s="16"/>
      <c r="J41" s="22"/>
      <c r="K41" s="11"/>
      <c r="L41" s="12"/>
      <c r="M41" s="23"/>
      <c r="N41" s="29"/>
      <c r="O41" s="29"/>
      <c r="P41" s="47">
        <f>SUM(N23:N40)</f>
        <v>998646.83</v>
      </c>
      <c r="Q41" s="34"/>
      <c r="R41" s="19"/>
      <c r="S41" s="19"/>
    </row>
    <row r="42" spans="2:19" ht="18.75">
      <c r="D42" s="11"/>
      <c r="E42" s="12"/>
      <c r="F42" s="23"/>
      <c r="G42" s="29"/>
      <c r="H42" s="29"/>
      <c r="I42" s="16"/>
      <c r="J42" s="22"/>
      <c r="K42" s="11"/>
      <c r="L42" s="12"/>
      <c r="M42" s="23"/>
      <c r="N42" s="29"/>
      <c r="O42" s="29"/>
      <c r="P42" s="47"/>
      <c r="Q42" s="34"/>
      <c r="R42" s="19"/>
      <c r="S42" s="19"/>
    </row>
    <row r="43" spans="2:19" ht="18.75">
      <c r="D43" s="11"/>
      <c r="E43" s="12"/>
      <c r="F43" s="23"/>
      <c r="G43" s="29"/>
      <c r="H43" s="29"/>
      <c r="I43" s="16"/>
      <c r="J43" s="22"/>
      <c r="K43" s="11"/>
      <c r="L43" s="12"/>
      <c r="M43" s="23"/>
      <c r="N43" s="29"/>
      <c r="O43" s="29"/>
      <c r="P43" s="47"/>
      <c r="Q43" s="34"/>
      <c r="R43" s="19"/>
      <c r="S43" s="19"/>
    </row>
    <row r="44" spans="2:19" ht="18.75">
      <c r="D44" s="11"/>
      <c r="E44" s="12"/>
      <c r="F44" s="23"/>
      <c r="G44" s="29"/>
      <c r="H44" s="29"/>
      <c r="I44" s="16"/>
      <c r="J44" s="22"/>
      <c r="K44" s="11"/>
      <c r="L44" s="12"/>
      <c r="M44" s="23"/>
      <c r="N44" s="29"/>
      <c r="O44" s="29"/>
      <c r="P44" s="47"/>
      <c r="Q44" s="34"/>
      <c r="R44" s="19"/>
      <c r="S44" s="19"/>
    </row>
    <row r="45" spans="2:19" ht="18.75">
      <c r="D45" s="11">
        <v>3</v>
      </c>
      <c r="E45" s="12" t="s">
        <v>13</v>
      </c>
      <c r="F45" s="73" t="s">
        <v>83</v>
      </c>
      <c r="G45" s="162">
        <v>8699.5499999999993</v>
      </c>
      <c r="H45" s="51">
        <v>8699.5499999999993</v>
      </c>
      <c r="I45" s="53"/>
      <c r="J45" s="57">
        <f>G45-H45</f>
        <v>0</v>
      </c>
      <c r="K45" s="11">
        <v>3</v>
      </c>
      <c r="L45" s="12" t="s">
        <v>13</v>
      </c>
      <c r="M45" s="33"/>
      <c r="N45" s="21"/>
      <c r="O45" s="21"/>
      <c r="P45" s="47"/>
      <c r="Q45" s="34"/>
    </row>
    <row r="46" spans="2:19" ht="18.75">
      <c r="D46" s="11"/>
      <c r="E46" s="12">
        <f>J46*100/H46</f>
        <v>5.1007952853961277E-4</v>
      </c>
      <c r="F46" s="73" t="s">
        <v>74</v>
      </c>
      <c r="G46" s="51">
        <v>98024.43</v>
      </c>
      <c r="H46" s="65">
        <v>98023.93</v>
      </c>
      <c r="I46" s="66"/>
      <c r="J46" s="139">
        <f>G46-H46</f>
        <v>0.5</v>
      </c>
      <c r="K46" s="11"/>
      <c r="L46" s="12"/>
      <c r="M46" s="33"/>
      <c r="N46" s="21"/>
      <c r="O46" s="21"/>
      <c r="P46" s="47"/>
      <c r="Q46" s="34"/>
    </row>
    <row r="47" spans="2:19" ht="18.75">
      <c r="D47" s="11"/>
      <c r="E47" s="12"/>
      <c r="F47" s="73" t="s">
        <v>79</v>
      </c>
      <c r="G47" s="51">
        <v>2426.96</v>
      </c>
      <c r="H47" s="51">
        <v>2426.96</v>
      </c>
      <c r="I47" s="53"/>
      <c r="J47" s="57">
        <f>G47-H47</f>
        <v>0</v>
      </c>
      <c r="K47" s="11"/>
      <c r="L47" s="12"/>
      <c r="M47" s="33"/>
      <c r="N47" s="21"/>
      <c r="O47" s="21"/>
      <c r="P47" s="47"/>
      <c r="Q47" s="34"/>
    </row>
    <row r="48" spans="2:19" s="1" customFormat="1" ht="18.75">
      <c r="B48" s="31"/>
      <c r="D48" s="8">
        <v>4</v>
      </c>
      <c r="E48" s="3" t="s">
        <v>14</v>
      </c>
      <c r="F48" s="73" t="s">
        <v>74</v>
      </c>
      <c r="G48" s="51">
        <v>78748.19</v>
      </c>
      <c r="H48" s="51">
        <v>78748.19</v>
      </c>
      <c r="I48" s="53"/>
      <c r="J48" s="57">
        <f>G48-H48</f>
        <v>0</v>
      </c>
      <c r="K48" s="8">
        <v>4</v>
      </c>
      <c r="L48" s="3" t="s">
        <v>14</v>
      </c>
      <c r="M48" s="54" t="s">
        <v>81</v>
      </c>
      <c r="N48" s="51">
        <f>2357.51+14146.36+2908.85</f>
        <v>19412.72</v>
      </c>
      <c r="O48" s="51">
        <v>19412.72</v>
      </c>
      <c r="P48" s="56"/>
      <c r="Q48" s="52">
        <f>N48-O48</f>
        <v>0</v>
      </c>
      <c r="S48" s="78">
        <f>P48+Q48+R48</f>
        <v>0</v>
      </c>
    </row>
    <row r="49" spans="2:20" s="1" customFormat="1" ht="18.75">
      <c r="B49" s="46"/>
      <c r="D49" s="8"/>
      <c r="E49" s="3"/>
      <c r="F49" s="15"/>
      <c r="G49" s="21"/>
      <c r="I49" s="21"/>
      <c r="J49" s="22"/>
      <c r="K49" s="8"/>
      <c r="L49" s="3"/>
      <c r="M49" s="63" t="s">
        <v>84</v>
      </c>
      <c r="N49" s="51">
        <f>20590.05+8120+580+730.34+2517.74+7004.12</f>
        <v>39542.25</v>
      </c>
      <c r="O49" s="51">
        <v>39542.25</v>
      </c>
      <c r="P49" s="56"/>
      <c r="Q49" s="52">
        <f t="shared" ref="Q49:Q86" si="2">N49-O49</f>
        <v>0</v>
      </c>
    </row>
    <row r="50" spans="2:20" s="1" customFormat="1" ht="18.75">
      <c r="B50" s="46"/>
      <c r="D50" s="8"/>
      <c r="E50" s="3"/>
      <c r="F50" s="15"/>
      <c r="G50" s="21"/>
      <c r="H50" s="21"/>
      <c r="I50" s="16"/>
      <c r="J50" s="22"/>
      <c r="K50" s="8"/>
      <c r="L50" s="12">
        <f>Q50*100/O50</f>
        <v>-100</v>
      </c>
      <c r="M50" s="154" t="s">
        <v>87</v>
      </c>
      <c r="N50" s="137">
        <v>0</v>
      </c>
      <c r="O50" s="137">
        <v>1078.5</v>
      </c>
      <c r="P50" s="147"/>
      <c r="Q50" s="144">
        <f t="shared" si="2"/>
        <v>-1078.5</v>
      </c>
    </row>
    <row r="51" spans="2:20" s="1" customFormat="1" ht="18.75">
      <c r="B51" s="46"/>
      <c r="D51" s="8"/>
      <c r="E51" s="3"/>
      <c r="F51" s="15"/>
      <c r="G51" s="21"/>
      <c r="H51" s="21"/>
      <c r="I51" s="16"/>
      <c r="J51" s="22"/>
      <c r="K51" s="8"/>
      <c r="L51" s="3"/>
      <c r="M51" s="63" t="s">
        <v>91</v>
      </c>
      <c r="N51" s="51">
        <f xml:space="preserve"> 1419.91+8566.49</f>
        <v>9986.4</v>
      </c>
      <c r="O51" s="51">
        <v>9986.4</v>
      </c>
      <c r="P51" s="56"/>
      <c r="Q51" s="52">
        <f t="shared" si="2"/>
        <v>0</v>
      </c>
    </row>
    <row r="52" spans="2:20" s="1" customFormat="1" ht="18.75">
      <c r="B52" s="46"/>
      <c r="D52" s="8"/>
      <c r="E52" s="3"/>
      <c r="F52" s="15"/>
      <c r="G52" s="21"/>
      <c r="H52" s="21"/>
      <c r="I52" s="16"/>
      <c r="J52" s="22"/>
      <c r="K52" s="8"/>
      <c r="L52" s="3"/>
      <c r="M52" s="63" t="s">
        <v>95</v>
      </c>
      <c r="N52" s="51">
        <v>25170.880000000001</v>
      </c>
      <c r="O52" s="51">
        <v>25170.880000000001</v>
      </c>
      <c r="P52" s="56"/>
      <c r="Q52" s="52">
        <f t="shared" si="2"/>
        <v>0</v>
      </c>
    </row>
    <row r="53" spans="2:20" s="1" customFormat="1" ht="18.75">
      <c r="B53" s="46"/>
      <c r="D53" s="8"/>
      <c r="E53" s="3"/>
      <c r="F53" s="15"/>
      <c r="G53" s="21"/>
      <c r="H53" s="21"/>
      <c r="I53" s="16"/>
      <c r="J53" s="22"/>
      <c r="K53" s="8"/>
      <c r="L53" s="3"/>
      <c r="M53" s="63" t="s">
        <v>104</v>
      </c>
      <c r="N53" s="51">
        <f>25497.51+39359.87</f>
        <v>64857.380000000005</v>
      </c>
      <c r="O53" s="51">
        <v>64857.38</v>
      </c>
      <c r="P53" s="56"/>
      <c r="Q53" s="52">
        <f t="shared" si="2"/>
        <v>0</v>
      </c>
    </row>
    <row r="54" spans="2:20" s="1" customFormat="1" ht="18.75">
      <c r="B54" s="46"/>
      <c r="D54" s="8"/>
      <c r="E54" s="3"/>
      <c r="F54" s="15"/>
      <c r="G54" s="21"/>
      <c r="H54" s="21"/>
      <c r="I54" s="16"/>
      <c r="J54" s="22"/>
      <c r="K54" s="8"/>
      <c r="L54" s="3"/>
      <c r="M54" s="63" t="s">
        <v>113</v>
      </c>
      <c r="N54" s="51">
        <f>1679.76+747.2</f>
        <v>2426.96</v>
      </c>
      <c r="O54" s="51">
        <v>2426.96</v>
      </c>
      <c r="P54" s="56"/>
      <c r="Q54" s="52">
        <f t="shared" si="2"/>
        <v>0</v>
      </c>
    </row>
    <row r="55" spans="2:20" s="1" customFormat="1" ht="18.75">
      <c r="B55" s="46"/>
      <c r="D55" s="8"/>
      <c r="E55" s="3"/>
      <c r="F55" s="15"/>
      <c r="G55" s="21"/>
      <c r="H55" s="21"/>
      <c r="I55" s="16"/>
      <c r="J55" s="22"/>
      <c r="K55" s="8"/>
      <c r="L55" s="12">
        <f>Q55*100/O55</f>
        <v>0.11983860407535732</v>
      </c>
      <c r="M55" s="154" t="s">
        <v>94</v>
      </c>
      <c r="N55" s="137">
        <f>13961.53+36332.9</f>
        <v>50294.43</v>
      </c>
      <c r="O55" s="137">
        <v>50234.229999999996</v>
      </c>
      <c r="P55" s="147"/>
      <c r="Q55" s="144">
        <f t="shared" si="2"/>
        <v>60.200000000004366</v>
      </c>
    </row>
    <row r="56" spans="2:20" s="1" customFormat="1" ht="18.75">
      <c r="B56" s="46"/>
      <c r="D56" s="8"/>
      <c r="E56" s="3"/>
      <c r="F56" s="15"/>
      <c r="G56" s="21"/>
      <c r="H56" s="21"/>
      <c r="I56" s="16"/>
      <c r="J56" s="22"/>
      <c r="K56" s="8"/>
      <c r="L56" s="3"/>
      <c r="M56" s="63" t="s">
        <v>119</v>
      </c>
      <c r="N56" s="51">
        <f>12959.93+791.55+1340.9+44375.45+2174.79+12516.67</f>
        <v>74159.289999999994</v>
      </c>
      <c r="O56" s="51">
        <v>74159.290000000008</v>
      </c>
      <c r="P56" s="56"/>
      <c r="Q56" s="52">
        <f t="shared" si="2"/>
        <v>0</v>
      </c>
    </row>
    <row r="57" spans="2:20" s="1" customFormat="1" ht="18.75">
      <c r="B57" s="46"/>
      <c r="D57" s="8"/>
      <c r="E57" s="3"/>
      <c r="F57" s="15"/>
      <c r="G57" s="21"/>
      <c r="H57" s="21"/>
      <c r="I57" s="16"/>
      <c r="J57" s="22"/>
      <c r="K57" s="8"/>
      <c r="L57" s="3"/>
      <c r="M57" s="63" t="s">
        <v>135</v>
      </c>
      <c r="N57" s="51">
        <v>10819.869999999999</v>
      </c>
      <c r="O57" s="51">
        <v>10819.869999999999</v>
      </c>
      <c r="P57" s="56"/>
      <c r="Q57" s="52">
        <f t="shared" si="2"/>
        <v>0</v>
      </c>
    </row>
    <row r="58" spans="2:20" s="1" customFormat="1" ht="18.75">
      <c r="B58" s="46"/>
      <c r="D58" s="8"/>
      <c r="E58" s="3"/>
      <c r="F58" s="15"/>
      <c r="G58" s="21"/>
      <c r="H58" s="21"/>
      <c r="I58" s="16"/>
      <c r="J58" s="22"/>
      <c r="K58" s="8"/>
      <c r="L58" s="3"/>
      <c r="M58" s="63" t="s">
        <v>116</v>
      </c>
      <c r="N58" s="51">
        <f>1433.96+42710.87</f>
        <v>44144.83</v>
      </c>
      <c r="O58" s="51">
        <v>44144.83</v>
      </c>
      <c r="P58" s="47">
        <f>SUM(N48:N58)</f>
        <v>340815.01</v>
      </c>
      <c r="Q58" s="52">
        <f t="shared" si="2"/>
        <v>0</v>
      </c>
      <c r="S58" s="1">
        <f>340815.01</f>
        <v>340815.01</v>
      </c>
      <c r="T58" s="19">
        <f>S58-P58</f>
        <v>0</v>
      </c>
    </row>
    <row r="59" spans="2:20" ht="18.75">
      <c r="D59" s="11">
        <v>5</v>
      </c>
      <c r="E59" s="160" t="s">
        <v>15</v>
      </c>
      <c r="F59" s="54" t="s">
        <v>98</v>
      </c>
      <c r="G59" s="141">
        <v>469.25</v>
      </c>
      <c r="H59" s="53">
        <v>469.25</v>
      </c>
      <c r="I59" s="53"/>
      <c r="J59" s="57">
        <f>G59-H59</f>
        <v>0</v>
      </c>
      <c r="K59" s="11">
        <v>5</v>
      </c>
      <c r="L59" s="12" t="s">
        <v>15</v>
      </c>
      <c r="M59" s="63" t="s">
        <v>81</v>
      </c>
      <c r="N59" s="51">
        <v>58260.390000000007</v>
      </c>
      <c r="O59" s="51">
        <v>58260.390000000007</v>
      </c>
      <c r="P59" s="56"/>
      <c r="Q59" s="52">
        <f t="shared" si="2"/>
        <v>0</v>
      </c>
    </row>
    <row r="60" spans="2:20" ht="18.75">
      <c r="D60" s="11"/>
      <c r="E60" s="12"/>
      <c r="F60" s="15"/>
      <c r="G60" s="21"/>
      <c r="H60" s="16"/>
      <c r="I60" s="16"/>
      <c r="J60" s="22"/>
      <c r="K60" s="11"/>
      <c r="L60" s="12" t="e">
        <f>Q60*100/O60</f>
        <v>#DIV/0!</v>
      </c>
      <c r="M60" s="63" t="s">
        <v>88</v>
      </c>
      <c r="N60" s="51">
        <v>0</v>
      </c>
      <c r="O60" s="51">
        <v>0</v>
      </c>
      <c r="P60" s="147"/>
      <c r="Q60" s="144">
        <f t="shared" si="2"/>
        <v>0</v>
      </c>
    </row>
    <row r="61" spans="2:20" ht="18.75">
      <c r="D61" s="11"/>
      <c r="E61" s="12"/>
      <c r="F61" s="15"/>
      <c r="G61" s="21"/>
      <c r="H61" s="16"/>
      <c r="I61" s="16"/>
      <c r="J61" s="22"/>
      <c r="K61" s="11"/>
      <c r="L61" s="12"/>
      <c r="M61" s="63" t="s">
        <v>55</v>
      </c>
      <c r="N61" s="51">
        <v>19740.150000000001</v>
      </c>
      <c r="O61" s="51">
        <v>19740.150000000001</v>
      </c>
      <c r="P61" s="56"/>
      <c r="Q61" s="52">
        <f t="shared" si="2"/>
        <v>0</v>
      </c>
    </row>
    <row r="62" spans="2:20" ht="18.75">
      <c r="D62" s="11"/>
      <c r="E62" s="12"/>
      <c r="F62" s="15"/>
      <c r="G62" s="21"/>
      <c r="H62" s="16"/>
      <c r="I62" s="16"/>
      <c r="J62" s="22"/>
      <c r="K62" s="11"/>
      <c r="L62" s="12"/>
      <c r="M62" s="63" t="s">
        <v>119</v>
      </c>
      <c r="N62" s="51">
        <v>102935.98000000001</v>
      </c>
      <c r="O62" s="51">
        <v>102935.98</v>
      </c>
      <c r="P62" s="56"/>
      <c r="Q62" s="52">
        <f t="shared" si="2"/>
        <v>0</v>
      </c>
    </row>
    <row r="63" spans="2:20" ht="18.75">
      <c r="D63" s="11"/>
      <c r="E63" s="12"/>
      <c r="F63" s="15"/>
      <c r="G63" s="21"/>
      <c r="H63" s="16"/>
      <c r="I63" s="16"/>
      <c r="J63" s="22"/>
      <c r="K63" s="11"/>
      <c r="L63" s="12"/>
      <c r="M63" s="63" t="s">
        <v>48</v>
      </c>
      <c r="N63" s="51">
        <v>51468.72</v>
      </c>
      <c r="O63" s="51">
        <v>51468.72</v>
      </c>
      <c r="P63" s="56"/>
      <c r="Q63" s="52">
        <f t="shared" si="2"/>
        <v>0</v>
      </c>
    </row>
    <row r="64" spans="2:20" ht="18.75">
      <c r="D64" s="11"/>
      <c r="E64" s="12"/>
      <c r="F64" s="15"/>
      <c r="G64" s="21"/>
      <c r="H64" s="16"/>
      <c r="I64" s="16"/>
      <c r="J64" s="22"/>
      <c r="K64" s="11"/>
      <c r="L64" s="12"/>
      <c r="M64" s="63" t="s">
        <v>121</v>
      </c>
      <c r="N64" s="51">
        <v>4257.04</v>
      </c>
      <c r="O64" s="51">
        <v>4257.04</v>
      </c>
      <c r="P64" s="56"/>
      <c r="Q64" s="52">
        <f t="shared" si="2"/>
        <v>0</v>
      </c>
    </row>
    <row r="65" spans="4:19" ht="18.75">
      <c r="D65" s="11"/>
      <c r="E65" s="12"/>
      <c r="F65" s="15"/>
      <c r="G65" s="21"/>
      <c r="H65" s="16"/>
      <c r="I65" s="16"/>
      <c r="J65" s="22"/>
      <c r="K65" s="11"/>
      <c r="L65" s="12"/>
      <c r="M65" s="63" t="s">
        <v>43</v>
      </c>
      <c r="N65" s="51">
        <v>51297.827999999994</v>
      </c>
      <c r="O65" s="51">
        <v>51297.827999999994</v>
      </c>
      <c r="P65" s="56"/>
      <c r="Q65" s="52">
        <f t="shared" si="2"/>
        <v>0</v>
      </c>
    </row>
    <row r="66" spans="4:19" ht="18.75">
      <c r="D66" s="11"/>
      <c r="E66" s="12"/>
      <c r="F66" s="15"/>
      <c r="G66" s="21"/>
      <c r="H66" s="16"/>
      <c r="I66" s="16"/>
      <c r="J66" s="22"/>
      <c r="K66" s="11"/>
      <c r="L66" s="12"/>
      <c r="M66" s="23"/>
      <c r="N66" s="21"/>
      <c r="O66" s="21"/>
      <c r="P66" s="75">
        <f>SUM(N59:N65)</f>
        <v>287960.10800000001</v>
      </c>
      <c r="Q66" s="34"/>
    </row>
    <row r="67" spans="4:19" ht="18.75">
      <c r="D67" s="11"/>
      <c r="E67" s="12"/>
      <c r="F67" s="15"/>
      <c r="G67" s="21"/>
      <c r="H67" s="16"/>
      <c r="I67" s="16"/>
      <c r="J67" s="22"/>
      <c r="K67" s="11"/>
      <c r="L67" s="12"/>
      <c r="M67" s="23"/>
      <c r="N67" s="21"/>
      <c r="O67" s="21"/>
      <c r="P67" s="47"/>
      <c r="Q67" s="34"/>
    </row>
    <row r="68" spans="4:19" ht="18.75">
      <c r="D68" s="11">
        <v>6</v>
      </c>
      <c r="E68" s="12" t="s">
        <v>16</v>
      </c>
      <c r="F68" s="64" t="s">
        <v>20</v>
      </c>
      <c r="G68" s="137"/>
      <c r="H68" s="134">
        <v>621.73</v>
      </c>
      <c r="I68" s="66"/>
      <c r="J68" s="68">
        <f>G68-H68</f>
        <v>-621.73</v>
      </c>
      <c r="K68" s="11">
        <v>6</v>
      </c>
      <c r="L68" s="12" t="s">
        <v>16</v>
      </c>
      <c r="M68" s="63" t="s">
        <v>68</v>
      </c>
      <c r="N68" s="51">
        <v>706.25</v>
      </c>
      <c r="O68" s="51">
        <v>706.25</v>
      </c>
      <c r="P68" s="56"/>
      <c r="Q68" s="52">
        <f t="shared" si="2"/>
        <v>0</v>
      </c>
      <c r="S68" s="20"/>
    </row>
    <row r="69" spans="4:19" ht="18.75">
      <c r="D69" s="11"/>
      <c r="E69" s="12"/>
      <c r="F69" s="15"/>
      <c r="G69" s="21"/>
      <c r="H69" s="21"/>
      <c r="I69" s="16"/>
      <c r="J69" s="22"/>
      <c r="K69" s="11"/>
      <c r="L69" s="12">
        <f>Q69*100/O69</f>
        <v>0.28458649043046197</v>
      </c>
      <c r="M69" s="63" t="s">
        <v>81</v>
      </c>
      <c r="N69" s="51">
        <v>115907.14</v>
      </c>
      <c r="O69" s="137">
        <v>115578.22</v>
      </c>
      <c r="P69" s="147"/>
      <c r="Q69" s="144">
        <f t="shared" si="2"/>
        <v>328.91999999999825</v>
      </c>
      <c r="S69" s="20"/>
    </row>
    <row r="70" spans="4:19" ht="18.75">
      <c r="D70" s="11"/>
      <c r="E70" s="12"/>
      <c r="F70" s="15"/>
      <c r="G70" s="21"/>
      <c r="H70" s="21"/>
      <c r="I70" s="16"/>
      <c r="J70" s="22"/>
      <c r="K70" s="11"/>
      <c r="L70" s="12">
        <f>Q70*100/O70</f>
        <v>-1.3418916198957836E-3</v>
      </c>
      <c r="M70" s="63" t="s">
        <v>87</v>
      </c>
      <c r="N70" s="51">
        <v>2235.62</v>
      </c>
      <c r="O70" s="51">
        <v>2235.65</v>
      </c>
      <c r="P70" s="56"/>
      <c r="Q70" s="144">
        <f t="shared" si="2"/>
        <v>-3.0000000000200089E-2</v>
      </c>
      <c r="S70" s="20"/>
    </row>
    <row r="71" spans="4:19" ht="18.75">
      <c r="D71" s="11"/>
      <c r="E71" s="12"/>
      <c r="F71" s="15"/>
      <c r="G71" s="21"/>
      <c r="H71" s="21"/>
      <c r="I71" s="16"/>
      <c r="J71" s="22"/>
      <c r="K71" s="11"/>
      <c r="L71" s="12"/>
      <c r="M71" s="63" t="s">
        <v>90</v>
      </c>
      <c r="N71" s="51">
        <v>5625.23</v>
      </c>
      <c r="O71" s="51">
        <v>5625.2300000000005</v>
      </c>
      <c r="P71" s="56"/>
      <c r="Q71" s="52">
        <f t="shared" si="2"/>
        <v>0</v>
      </c>
      <c r="S71" s="20"/>
    </row>
    <row r="72" spans="4:19" ht="18.75">
      <c r="D72" s="11"/>
      <c r="E72" s="12"/>
      <c r="F72" s="15"/>
      <c r="G72" s="21"/>
      <c r="H72" s="21"/>
      <c r="I72" s="16"/>
      <c r="J72" s="22"/>
      <c r="K72" s="11"/>
      <c r="L72" s="12"/>
      <c r="M72" s="63" t="s">
        <v>95</v>
      </c>
      <c r="N72" s="51">
        <v>26437.08</v>
      </c>
      <c r="O72" s="51">
        <v>26437.08</v>
      </c>
      <c r="P72" s="56"/>
      <c r="Q72" s="52">
        <f t="shared" si="2"/>
        <v>0</v>
      </c>
      <c r="S72" s="20"/>
    </row>
    <row r="73" spans="4:19" ht="18.75">
      <c r="D73" s="11"/>
      <c r="E73" s="12"/>
      <c r="F73" s="15"/>
      <c r="G73" s="21"/>
      <c r="H73" s="21"/>
      <c r="I73" s="16"/>
      <c r="J73" s="22"/>
      <c r="K73" s="11"/>
      <c r="L73" s="12"/>
      <c r="M73" s="63" t="s">
        <v>110</v>
      </c>
      <c r="N73" s="51">
        <v>26361.33</v>
      </c>
      <c r="O73" s="51">
        <v>26361.33</v>
      </c>
      <c r="P73" s="56"/>
      <c r="Q73" s="52">
        <f t="shared" si="2"/>
        <v>0</v>
      </c>
      <c r="S73" s="20"/>
    </row>
    <row r="74" spans="4:19" ht="18.75">
      <c r="D74" s="11"/>
      <c r="E74" s="12"/>
      <c r="F74" s="15"/>
      <c r="G74" s="21"/>
      <c r="H74" s="21"/>
      <c r="I74" s="16"/>
      <c r="J74" s="22"/>
      <c r="K74" s="11"/>
      <c r="L74" s="12"/>
      <c r="M74" s="63" t="s">
        <v>104</v>
      </c>
      <c r="N74" s="51">
        <v>27881.77</v>
      </c>
      <c r="O74" s="51">
        <v>27881.77</v>
      </c>
      <c r="P74" s="56"/>
      <c r="Q74" s="52">
        <f t="shared" si="2"/>
        <v>0</v>
      </c>
      <c r="S74" s="20"/>
    </row>
    <row r="75" spans="4:19" ht="18.75">
      <c r="D75" s="11"/>
      <c r="E75" s="12"/>
      <c r="F75" s="15"/>
      <c r="G75" s="21"/>
      <c r="H75" s="21"/>
      <c r="I75" s="16"/>
      <c r="J75" s="22"/>
      <c r="K75" s="11"/>
      <c r="L75" s="12">
        <f t="shared" ref="L75:L76" si="3">Q75*100/O75</f>
        <v>-5.1007692674162966E-4</v>
      </c>
      <c r="M75" s="63" t="s">
        <v>113</v>
      </c>
      <c r="N75" s="51">
        <v>98023.93</v>
      </c>
      <c r="O75" s="51">
        <v>98024.43</v>
      </c>
      <c r="P75" s="56"/>
      <c r="Q75" s="144">
        <f t="shared" si="2"/>
        <v>-0.5</v>
      </c>
      <c r="S75" s="20"/>
    </row>
    <row r="76" spans="4:19" ht="18.75">
      <c r="D76" s="11"/>
      <c r="E76" s="12"/>
      <c r="F76" s="15"/>
      <c r="G76" s="21"/>
      <c r="H76" s="21"/>
      <c r="I76" s="16"/>
      <c r="J76" s="22"/>
      <c r="K76" s="11"/>
      <c r="L76" s="12">
        <f t="shared" si="3"/>
        <v>-100</v>
      </c>
      <c r="M76" s="154" t="s">
        <v>94</v>
      </c>
      <c r="N76" s="137">
        <v>0</v>
      </c>
      <c r="O76" s="137">
        <v>60469.409999999996</v>
      </c>
      <c r="P76" s="147"/>
      <c r="Q76" s="144">
        <f t="shared" si="2"/>
        <v>-60469.409999999996</v>
      </c>
      <c r="S76" s="20"/>
    </row>
    <row r="77" spans="4:19" ht="18.75">
      <c r="D77" s="11"/>
      <c r="E77" s="12"/>
      <c r="F77" s="15"/>
      <c r="G77" s="21"/>
      <c r="H77" s="21"/>
      <c r="I77" s="16"/>
      <c r="J77" s="22"/>
      <c r="K77" s="11"/>
      <c r="L77" s="12"/>
      <c r="M77" s="63" t="s">
        <v>98</v>
      </c>
      <c r="N77" s="51">
        <v>78968.14</v>
      </c>
      <c r="O77" s="51">
        <v>78968.14</v>
      </c>
      <c r="P77" s="56"/>
      <c r="Q77" s="52">
        <f t="shared" si="2"/>
        <v>0</v>
      </c>
      <c r="S77" s="20"/>
    </row>
    <row r="78" spans="4:19" ht="18.75">
      <c r="D78" s="11"/>
      <c r="E78" s="12"/>
      <c r="F78" s="15"/>
      <c r="G78" s="21"/>
      <c r="H78" s="21"/>
      <c r="I78" s="16"/>
      <c r="J78" s="22"/>
      <c r="K78" s="11"/>
      <c r="L78" s="12">
        <f>Q78*100/O78</f>
        <v>-1.1566061339598435</v>
      </c>
      <c r="M78" s="63" t="s">
        <v>99</v>
      </c>
      <c r="N78" s="51">
        <v>37435.69</v>
      </c>
      <c r="O78" s="137">
        <v>37873.740000000005</v>
      </c>
      <c r="P78" s="147"/>
      <c r="Q78" s="144">
        <f t="shared" si="2"/>
        <v>-438.05000000000291</v>
      </c>
      <c r="S78" s="20"/>
    </row>
    <row r="79" spans="4:19" ht="18.75">
      <c r="D79" s="11"/>
      <c r="E79" s="12"/>
      <c r="F79" s="15"/>
      <c r="G79" s="21"/>
      <c r="H79" s="21"/>
      <c r="I79" s="16"/>
      <c r="J79" s="22"/>
      <c r="K79" s="11"/>
      <c r="L79" s="12"/>
      <c r="M79" s="63" t="s">
        <v>100</v>
      </c>
      <c r="N79" s="51">
        <v>26404.2</v>
      </c>
      <c r="O79" s="51">
        <v>26404.2</v>
      </c>
      <c r="P79" s="56"/>
      <c r="Q79" s="52">
        <f t="shared" si="2"/>
        <v>0</v>
      </c>
      <c r="S79" s="20"/>
    </row>
    <row r="80" spans="4:19" ht="18.75">
      <c r="D80" s="11"/>
      <c r="E80" s="12"/>
      <c r="F80" s="15"/>
      <c r="G80" s="21"/>
      <c r="H80" s="21"/>
      <c r="I80" s="16"/>
      <c r="J80" s="22"/>
      <c r="K80" s="11"/>
      <c r="L80" s="12">
        <f>Q80*100/O80</f>
        <v>-100</v>
      </c>
      <c r="M80" s="154" t="s">
        <v>101</v>
      </c>
      <c r="N80" s="137"/>
      <c r="O80" s="137">
        <v>35339.25</v>
      </c>
      <c r="P80" s="147"/>
      <c r="Q80" s="144">
        <f t="shared" si="2"/>
        <v>-35339.25</v>
      </c>
      <c r="S80" s="20"/>
    </row>
    <row r="81" spans="4:19" ht="18.75">
      <c r="D81" s="11"/>
      <c r="E81" s="12"/>
      <c r="F81" s="15"/>
      <c r="G81" s="21"/>
      <c r="H81" s="21"/>
      <c r="I81" s="16"/>
      <c r="J81" s="22"/>
      <c r="K81" s="11"/>
      <c r="L81" s="12"/>
      <c r="M81" s="63" t="s">
        <v>79</v>
      </c>
      <c r="N81" s="51">
        <v>78748.19</v>
      </c>
      <c r="O81" s="51">
        <v>78748.19</v>
      </c>
      <c r="P81" s="56"/>
      <c r="Q81" s="52">
        <f t="shared" si="2"/>
        <v>0</v>
      </c>
      <c r="S81" s="87"/>
    </row>
    <row r="82" spans="4:19" ht="18.75">
      <c r="D82" s="11"/>
      <c r="E82" s="12"/>
      <c r="F82" s="15"/>
      <c r="G82" s="21"/>
      <c r="H82" s="21"/>
      <c r="I82" s="16"/>
      <c r="J82" s="22"/>
      <c r="K82" s="11"/>
      <c r="L82" s="12">
        <f>Q82*100/O82</f>
        <v>0.72731641539086378</v>
      </c>
      <c r="M82" s="154" t="s">
        <v>116</v>
      </c>
      <c r="N82" s="137">
        <v>115028.47</v>
      </c>
      <c r="O82" s="137">
        <v>114197.89</v>
      </c>
      <c r="P82" s="147"/>
      <c r="Q82" s="144">
        <f t="shared" si="2"/>
        <v>830.58000000000175</v>
      </c>
      <c r="S82" s="20"/>
    </row>
    <row r="83" spans="4:19" ht="18.75">
      <c r="D83" s="11"/>
      <c r="E83" s="12"/>
      <c r="F83" s="15"/>
      <c r="G83" s="21"/>
      <c r="H83" s="21"/>
      <c r="I83" s="16"/>
      <c r="J83" s="22"/>
      <c r="K83" s="11"/>
      <c r="L83" s="168"/>
      <c r="M83" s="63" t="s">
        <v>117</v>
      </c>
      <c r="N83" s="51">
        <v>2438.4499999999998</v>
      </c>
      <c r="O83" s="51">
        <v>2438.4499999999998</v>
      </c>
      <c r="P83" s="56"/>
      <c r="Q83" s="52">
        <f t="shared" si="2"/>
        <v>0</v>
      </c>
      <c r="S83" s="87"/>
    </row>
    <row r="84" spans="4:19" s="1" customFormat="1" ht="18.75">
      <c r="D84" s="8"/>
      <c r="E84" s="3"/>
      <c r="F84" s="15"/>
      <c r="G84" s="21"/>
      <c r="H84" s="21"/>
      <c r="I84" s="16"/>
      <c r="J84" s="22"/>
      <c r="K84" s="8"/>
      <c r="L84" s="12"/>
      <c r="M84" s="154" t="s">
        <v>126</v>
      </c>
      <c r="N84" s="137">
        <v>35711.69</v>
      </c>
      <c r="O84" s="137"/>
      <c r="P84" s="147"/>
      <c r="Q84" s="144">
        <f t="shared" si="2"/>
        <v>35711.69</v>
      </c>
      <c r="S84" s="20"/>
    </row>
    <row r="85" spans="4:19" s="1" customFormat="1" ht="18.75">
      <c r="D85" s="8"/>
      <c r="E85" s="3"/>
      <c r="F85" s="15"/>
      <c r="G85" s="21"/>
      <c r="H85" s="21"/>
      <c r="I85" s="16"/>
      <c r="J85" s="22"/>
      <c r="K85" s="8"/>
      <c r="L85" s="12"/>
      <c r="M85" s="154" t="s">
        <v>83</v>
      </c>
      <c r="N85" s="137">
        <v>68261.23</v>
      </c>
      <c r="O85" s="137"/>
      <c r="P85" s="147"/>
      <c r="Q85" s="144">
        <f t="shared" si="2"/>
        <v>68261.23</v>
      </c>
      <c r="S85" s="20"/>
    </row>
    <row r="86" spans="4:19" s="1" customFormat="1" ht="18.75">
      <c r="D86" s="8"/>
      <c r="E86" s="3"/>
      <c r="F86" s="15"/>
      <c r="G86" s="21"/>
      <c r="H86" s="21"/>
      <c r="I86" s="16"/>
      <c r="J86" s="22"/>
      <c r="K86" s="8"/>
      <c r="L86" s="3"/>
      <c r="M86" s="63" t="s">
        <v>93</v>
      </c>
      <c r="N86" s="51">
        <v>7752.86</v>
      </c>
      <c r="O86" s="51">
        <v>7752.86</v>
      </c>
      <c r="P86" s="56"/>
      <c r="Q86" s="52">
        <f t="shared" si="2"/>
        <v>0</v>
      </c>
      <c r="S86" s="20"/>
    </row>
    <row r="87" spans="4:19" s="1" customFormat="1" ht="18.75">
      <c r="D87" s="8"/>
      <c r="E87" s="3"/>
      <c r="F87" s="15"/>
      <c r="G87" s="21"/>
      <c r="H87" s="21"/>
      <c r="I87" s="16"/>
      <c r="J87" s="22"/>
      <c r="K87" s="8"/>
      <c r="L87" s="3"/>
      <c r="M87" s="23"/>
      <c r="N87" s="21"/>
      <c r="O87" s="21"/>
      <c r="P87" s="47">
        <f>SUM(N67:N86)</f>
        <v>753927.2699999999</v>
      </c>
      <c r="Q87" s="34"/>
      <c r="S87" s="20"/>
    </row>
    <row r="88" spans="4:19" ht="18.75">
      <c r="D88" s="11">
        <v>7</v>
      </c>
      <c r="E88" s="160" t="s">
        <v>17</v>
      </c>
      <c r="F88" s="63" t="s">
        <v>83</v>
      </c>
      <c r="G88" s="51">
        <v>7676</v>
      </c>
      <c r="H88" s="51">
        <v>7676</v>
      </c>
      <c r="I88" s="53"/>
      <c r="J88" s="57">
        <f>G88-H88</f>
        <v>0</v>
      </c>
      <c r="K88" s="11">
        <v>7</v>
      </c>
      <c r="L88" s="12" t="s">
        <v>17</v>
      </c>
      <c r="M88" s="15"/>
      <c r="N88" s="21"/>
      <c r="O88" s="21"/>
      <c r="P88" s="47"/>
      <c r="Q88" s="34"/>
    </row>
    <row r="89" spans="4:19" ht="18.75">
      <c r="D89" s="11"/>
      <c r="E89" s="12"/>
      <c r="F89" s="63" t="s">
        <v>73</v>
      </c>
      <c r="G89" s="51">
        <v>27118.87</v>
      </c>
      <c r="H89" s="51">
        <v>27118.87</v>
      </c>
      <c r="I89" s="53"/>
      <c r="J89" s="57">
        <f>G89-H89</f>
        <v>0</v>
      </c>
      <c r="K89" s="11"/>
      <c r="L89" s="12"/>
      <c r="M89" s="15"/>
      <c r="N89" s="21"/>
      <c r="O89" s="21"/>
      <c r="P89" s="47"/>
      <c r="Q89" s="34"/>
    </row>
    <row r="90" spans="4:19" ht="18.75">
      <c r="D90" s="11"/>
      <c r="E90" s="12"/>
      <c r="F90" s="63" t="s">
        <v>79</v>
      </c>
      <c r="G90" s="51">
        <v>39542.25</v>
      </c>
      <c r="H90" s="51">
        <v>39542.25</v>
      </c>
      <c r="I90" s="53"/>
      <c r="J90" s="57">
        <f>G90-H90</f>
        <v>0</v>
      </c>
      <c r="K90" s="11"/>
      <c r="L90" s="12"/>
      <c r="M90" s="15"/>
      <c r="N90" s="87"/>
      <c r="O90" s="21"/>
      <c r="P90" s="47"/>
      <c r="Q90" s="34"/>
    </row>
    <row r="91" spans="4:19" ht="18.75">
      <c r="D91" s="11"/>
      <c r="E91" s="12"/>
      <c r="F91" s="63" t="s">
        <v>107</v>
      </c>
      <c r="G91" s="51">
        <v>5770.24</v>
      </c>
      <c r="H91" s="51">
        <v>5770.24</v>
      </c>
      <c r="I91" s="47"/>
      <c r="J91" s="57">
        <f>G91-H91</f>
        <v>0</v>
      </c>
      <c r="K91" s="11"/>
      <c r="L91" s="12"/>
      <c r="M91" s="15"/>
      <c r="N91" s="21"/>
      <c r="O91" s="21"/>
      <c r="P91" s="47"/>
      <c r="Q91" s="34"/>
    </row>
    <row r="92" spans="4:19" ht="18.75">
      <c r="D92" s="11"/>
      <c r="E92" s="12"/>
      <c r="F92" s="15"/>
      <c r="G92" s="21"/>
      <c r="H92" s="21"/>
      <c r="I92" s="47"/>
      <c r="J92" s="22"/>
      <c r="K92" s="11"/>
      <c r="L92" s="12"/>
      <c r="M92" s="15"/>
      <c r="N92" s="21"/>
      <c r="O92" s="21"/>
      <c r="P92" s="47"/>
      <c r="Q92" s="34"/>
    </row>
    <row r="93" spans="4:19" ht="18.75">
      <c r="D93" s="11"/>
      <c r="E93" s="12"/>
      <c r="F93" s="15"/>
      <c r="G93" s="21"/>
      <c r="H93" s="21"/>
      <c r="I93" s="47"/>
      <c r="J93" s="22"/>
      <c r="K93" s="11"/>
      <c r="L93" s="12"/>
      <c r="M93" s="15"/>
      <c r="N93" s="21"/>
      <c r="O93" s="21"/>
      <c r="P93" s="47"/>
      <c r="Q93" s="34"/>
    </row>
    <row r="94" spans="4:19" ht="18.75">
      <c r="D94" s="11">
        <v>8</v>
      </c>
      <c r="E94" s="12" t="s">
        <v>24</v>
      </c>
      <c r="F94" s="54" t="s">
        <v>98</v>
      </c>
      <c r="G94" s="51">
        <v>475.65</v>
      </c>
      <c r="H94" s="51">
        <v>475.65</v>
      </c>
      <c r="I94" s="56"/>
      <c r="J94" s="57">
        <f>G94-H94</f>
        <v>0</v>
      </c>
      <c r="K94" s="11">
        <v>8</v>
      </c>
      <c r="L94" s="12" t="s">
        <v>24</v>
      </c>
      <c r="M94" s="50" t="s">
        <v>81</v>
      </c>
      <c r="N94" s="51">
        <v>77045.91</v>
      </c>
      <c r="O94" s="52">
        <v>77045.91</v>
      </c>
      <c r="P94" s="56"/>
      <c r="Q94" s="52">
        <f t="shared" ref="Q94:Q150" si="4">N94-O94</f>
        <v>0</v>
      </c>
    </row>
    <row r="95" spans="4:19" ht="18.75">
      <c r="D95" s="11"/>
      <c r="E95" s="12"/>
      <c r="F95" s="54" t="s">
        <v>99</v>
      </c>
      <c r="G95" s="51">
        <v>275.72000000000003</v>
      </c>
      <c r="H95" s="51">
        <v>276.72000000000003</v>
      </c>
      <c r="I95" s="62"/>
      <c r="J95" s="57">
        <f>G95-H95</f>
        <v>-1</v>
      </c>
      <c r="K95" s="11"/>
      <c r="L95" s="12"/>
      <c r="M95" s="156" t="s">
        <v>87</v>
      </c>
      <c r="N95" s="137">
        <v>77482.649999999994</v>
      </c>
      <c r="O95" s="144">
        <v>77482.649999999994</v>
      </c>
      <c r="P95" s="147"/>
      <c r="Q95" s="144">
        <f t="shared" si="4"/>
        <v>0</v>
      </c>
    </row>
    <row r="96" spans="4:19" ht="18.75">
      <c r="D96" s="11"/>
      <c r="E96" s="12"/>
      <c r="F96" s="15"/>
      <c r="G96" s="21"/>
      <c r="H96" s="21"/>
      <c r="I96" s="47"/>
      <c r="J96" s="40"/>
      <c r="K96" s="11"/>
      <c r="L96" s="12"/>
      <c r="M96" s="156" t="s">
        <v>91</v>
      </c>
      <c r="N96" s="137">
        <v>0</v>
      </c>
      <c r="O96" s="144">
        <v>4705.9799999999996</v>
      </c>
      <c r="P96" s="147"/>
      <c r="Q96" s="144">
        <f t="shared" si="4"/>
        <v>-4705.9799999999996</v>
      </c>
    </row>
    <row r="97" spans="4:17" ht="18.75">
      <c r="D97" s="11"/>
      <c r="E97" s="12"/>
      <c r="F97" s="15"/>
      <c r="G97" s="21"/>
      <c r="H97" s="21"/>
      <c r="I97" s="47"/>
      <c r="J97" s="22"/>
      <c r="K97" s="11"/>
      <c r="L97" s="12"/>
      <c r="M97" s="50" t="s">
        <v>95</v>
      </c>
      <c r="N97" s="51">
        <v>17076.03</v>
      </c>
      <c r="O97" s="52">
        <v>17076.03</v>
      </c>
      <c r="P97" s="56"/>
      <c r="Q97" s="52">
        <f t="shared" si="4"/>
        <v>0</v>
      </c>
    </row>
    <row r="98" spans="4:17" ht="18.75">
      <c r="D98" s="11"/>
      <c r="E98" s="12"/>
      <c r="F98" s="15"/>
      <c r="G98" s="21"/>
      <c r="H98" s="21"/>
      <c r="I98" s="47"/>
      <c r="J98" s="22"/>
      <c r="K98" s="11"/>
      <c r="L98" s="12"/>
      <c r="M98" s="156" t="s">
        <v>94</v>
      </c>
      <c r="N98" s="137">
        <v>231320.94</v>
      </c>
      <c r="O98" s="144">
        <v>205249.12</v>
      </c>
      <c r="P98" s="147"/>
      <c r="Q98" s="144">
        <f t="shared" si="4"/>
        <v>26071.820000000007</v>
      </c>
    </row>
    <row r="99" spans="4:17" ht="18.75">
      <c r="D99" s="11"/>
      <c r="E99" s="12"/>
      <c r="F99" s="15"/>
      <c r="G99" s="21"/>
      <c r="H99" s="21"/>
      <c r="I99" s="47"/>
      <c r="J99" s="22"/>
      <c r="K99" s="11"/>
      <c r="L99" s="12"/>
      <c r="M99" s="50" t="s">
        <v>97</v>
      </c>
      <c r="N99" s="51">
        <v>25389.86</v>
      </c>
      <c r="O99" s="52">
        <v>25389.86</v>
      </c>
      <c r="P99" s="56"/>
      <c r="Q99" s="52">
        <f t="shared" si="4"/>
        <v>0</v>
      </c>
    </row>
    <row r="100" spans="4:17" ht="18.75">
      <c r="D100" s="11"/>
      <c r="E100" s="12"/>
      <c r="F100" s="15"/>
      <c r="G100" s="21"/>
      <c r="H100" s="21"/>
      <c r="I100" s="47"/>
      <c r="J100" s="22"/>
      <c r="K100" s="11"/>
      <c r="L100" s="12"/>
      <c r="M100" s="156" t="s">
        <v>100</v>
      </c>
      <c r="N100" s="137">
        <v>100689.97</v>
      </c>
      <c r="O100" s="144">
        <v>116051.44</v>
      </c>
      <c r="P100" s="147"/>
      <c r="Q100" s="144">
        <f t="shared" si="4"/>
        <v>-15361.470000000001</v>
      </c>
    </row>
    <row r="101" spans="4:17" ht="18.75">
      <c r="D101" s="11"/>
      <c r="E101" s="12"/>
      <c r="F101" s="15"/>
      <c r="G101" s="21"/>
      <c r="H101" s="21"/>
      <c r="I101" s="47"/>
      <c r="J101" s="22"/>
      <c r="K101" s="11"/>
      <c r="L101" s="12"/>
      <c r="M101" s="50" t="s">
        <v>101</v>
      </c>
      <c r="N101" s="51">
        <v>124347.56</v>
      </c>
      <c r="O101" s="52">
        <v>124347.56</v>
      </c>
      <c r="P101" s="56"/>
      <c r="Q101" s="52">
        <f t="shared" si="4"/>
        <v>0</v>
      </c>
    </row>
    <row r="102" spans="4:17" ht="18.75">
      <c r="D102" s="11"/>
      <c r="E102" s="12"/>
      <c r="F102" s="15"/>
      <c r="G102" s="21"/>
      <c r="H102" s="21"/>
      <c r="I102" s="47"/>
      <c r="J102" s="22"/>
      <c r="K102" s="11"/>
      <c r="L102" s="12"/>
      <c r="M102" s="50" t="s">
        <v>102</v>
      </c>
      <c r="N102" s="51">
        <v>50782.48</v>
      </c>
      <c r="O102" s="52">
        <v>50782.48</v>
      </c>
      <c r="P102" s="56"/>
      <c r="Q102" s="52">
        <f t="shared" si="4"/>
        <v>0</v>
      </c>
    </row>
    <row r="103" spans="4:17" ht="18.75">
      <c r="D103" s="11"/>
      <c r="E103" s="12"/>
      <c r="F103" s="15"/>
      <c r="G103" s="21"/>
      <c r="H103" s="21"/>
      <c r="I103" s="47"/>
      <c r="J103" s="22"/>
      <c r="K103" s="11"/>
      <c r="L103" s="12"/>
      <c r="M103" s="156" t="s">
        <v>103</v>
      </c>
      <c r="N103" s="137">
        <v>5566.6</v>
      </c>
      <c r="O103" s="157">
        <f>5023.12+1138.92</f>
        <v>6162.04</v>
      </c>
      <c r="P103" s="147"/>
      <c r="Q103" s="144">
        <f t="shared" si="4"/>
        <v>-595.4399999999996</v>
      </c>
    </row>
    <row r="104" spans="4:17" ht="18.75">
      <c r="D104" s="11"/>
      <c r="E104" s="12"/>
      <c r="F104" s="15"/>
      <c r="G104" s="21"/>
      <c r="H104" s="21"/>
      <c r="I104" s="47"/>
      <c r="J104" s="22"/>
      <c r="K104" s="11"/>
      <c r="L104" s="12"/>
      <c r="M104" s="50" t="s">
        <v>96</v>
      </c>
      <c r="N104" s="51">
        <v>51613.02</v>
      </c>
      <c r="O104" s="52">
        <v>51613.02</v>
      </c>
      <c r="P104" s="56"/>
      <c r="Q104" s="52">
        <f t="shared" si="4"/>
        <v>0</v>
      </c>
    </row>
    <row r="105" spans="4:17" ht="18.75">
      <c r="D105" s="11"/>
      <c r="E105" s="12"/>
      <c r="F105" s="15"/>
      <c r="G105" s="21"/>
      <c r="H105" s="21"/>
      <c r="I105" s="47"/>
      <c r="J105" s="22"/>
      <c r="K105" s="11"/>
      <c r="L105" s="12"/>
      <c r="M105" s="50" t="s">
        <v>98</v>
      </c>
      <c r="N105" s="51">
        <v>76710.92</v>
      </c>
      <c r="O105" s="52">
        <v>76710.92</v>
      </c>
      <c r="P105" s="56"/>
      <c r="Q105" s="52">
        <f t="shared" si="4"/>
        <v>0</v>
      </c>
    </row>
    <row r="106" spans="4:17" ht="18.75">
      <c r="D106" s="11"/>
      <c r="E106" s="12"/>
      <c r="F106" s="15"/>
      <c r="G106" s="21"/>
      <c r="H106" s="21"/>
      <c r="I106" s="47"/>
      <c r="J106" s="22"/>
      <c r="K106" s="11"/>
      <c r="L106" s="12"/>
      <c r="M106" s="50" t="s">
        <v>104</v>
      </c>
      <c r="N106" s="51">
        <v>25569.27</v>
      </c>
      <c r="O106" s="52">
        <v>25569.27</v>
      </c>
      <c r="P106" s="56"/>
      <c r="Q106" s="52">
        <f t="shared" si="4"/>
        <v>0</v>
      </c>
    </row>
    <row r="107" spans="4:17" ht="18.75">
      <c r="D107" s="11"/>
      <c r="E107" s="12"/>
      <c r="F107" s="15"/>
      <c r="G107" s="21"/>
      <c r="H107" s="21"/>
      <c r="I107" s="47"/>
      <c r="J107" s="22"/>
      <c r="K107" s="11"/>
      <c r="L107" s="12"/>
      <c r="M107" s="50" t="s">
        <v>99</v>
      </c>
      <c r="N107" s="51">
        <v>75902.430000000008</v>
      </c>
      <c r="O107" s="52">
        <v>75902.430000000008</v>
      </c>
      <c r="P107" s="56"/>
      <c r="Q107" s="52">
        <f t="shared" si="4"/>
        <v>0</v>
      </c>
    </row>
    <row r="108" spans="4:17" ht="18.75">
      <c r="D108" s="11"/>
      <c r="E108" s="12"/>
      <c r="F108" s="15"/>
      <c r="G108" s="21"/>
      <c r="H108" s="21"/>
      <c r="I108" s="47"/>
      <c r="J108" s="22"/>
      <c r="K108" s="11"/>
      <c r="L108" s="12"/>
      <c r="M108" s="50" t="s">
        <v>62</v>
      </c>
      <c r="N108" s="51">
        <v>154152.38999999998</v>
      </c>
      <c r="O108" s="52">
        <v>154152.38999999998</v>
      </c>
      <c r="P108" s="56"/>
      <c r="Q108" s="52">
        <f t="shared" si="4"/>
        <v>0</v>
      </c>
    </row>
    <row r="109" spans="4:17" ht="18.75">
      <c r="D109" s="11"/>
      <c r="E109" s="12"/>
      <c r="F109" s="15"/>
      <c r="G109" s="21"/>
      <c r="H109" s="21"/>
      <c r="I109" s="47"/>
      <c r="J109" s="22"/>
      <c r="K109" s="11"/>
      <c r="L109" s="12"/>
      <c r="M109" s="156" t="s">
        <v>105</v>
      </c>
      <c r="N109" s="137">
        <v>2309.58</v>
      </c>
      <c r="O109" s="144"/>
      <c r="P109" s="147"/>
      <c r="Q109" s="144">
        <f t="shared" si="4"/>
        <v>2309.58</v>
      </c>
    </row>
    <row r="110" spans="4:17" ht="18.75">
      <c r="D110" s="11"/>
      <c r="E110" s="12"/>
      <c r="F110" s="15"/>
      <c r="G110" s="21"/>
      <c r="H110" s="21"/>
      <c r="I110" s="47"/>
      <c r="J110" s="22"/>
      <c r="K110" s="11"/>
      <c r="L110" s="12"/>
      <c r="M110" s="156" t="s">
        <v>106</v>
      </c>
      <c r="N110" s="137">
        <v>766.57</v>
      </c>
      <c r="O110" s="144">
        <v>1023.1600000000001</v>
      </c>
      <c r="P110" s="147"/>
      <c r="Q110" s="144">
        <f t="shared" si="4"/>
        <v>-256.59000000000003</v>
      </c>
    </row>
    <row r="111" spans="4:17" ht="18.75">
      <c r="D111" s="11"/>
      <c r="E111" s="12"/>
      <c r="F111" s="15"/>
      <c r="G111" s="21"/>
      <c r="H111" s="21"/>
      <c r="I111" s="47"/>
      <c r="J111" s="22"/>
      <c r="K111" s="11"/>
      <c r="L111" s="12"/>
      <c r="M111" s="50" t="s">
        <v>77</v>
      </c>
      <c r="N111" s="51">
        <v>14500</v>
      </c>
      <c r="O111" s="52">
        <v>14500</v>
      </c>
      <c r="P111" s="56"/>
      <c r="Q111" s="52">
        <f t="shared" si="4"/>
        <v>0</v>
      </c>
    </row>
    <row r="112" spans="4:17" ht="18.75">
      <c r="D112" s="11"/>
      <c r="E112" s="12"/>
      <c r="F112" s="15"/>
      <c r="G112" s="21"/>
      <c r="H112" s="21"/>
      <c r="I112" s="47"/>
      <c r="J112" s="22"/>
      <c r="K112" s="11"/>
      <c r="L112" s="12"/>
      <c r="M112" s="50" t="s">
        <v>107</v>
      </c>
      <c r="N112" s="51">
        <v>7542.6</v>
      </c>
      <c r="O112" s="52">
        <v>7542.6</v>
      </c>
      <c r="P112" s="62"/>
      <c r="Q112" s="52">
        <f t="shared" si="4"/>
        <v>0</v>
      </c>
    </row>
    <row r="113" spans="4:19" ht="18.75">
      <c r="D113" s="11"/>
      <c r="E113" s="12"/>
      <c r="F113" s="15"/>
      <c r="G113" s="21"/>
      <c r="H113" s="21"/>
      <c r="I113" s="47"/>
      <c r="J113" s="22"/>
      <c r="K113" s="11"/>
      <c r="L113" s="12"/>
      <c r="M113" s="156" t="s">
        <v>82</v>
      </c>
      <c r="N113" s="137">
        <v>0</v>
      </c>
      <c r="O113" s="144">
        <v>2309.58</v>
      </c>
      <c r="P113" s="147">
        <f>SUM(N94:N112)</f>
        <v>1118768.7800000003</v>
      </c>
      <c r="Q113" s="144">
        <f t="shared" si="4"/>
        <v>-2309.58</v>
      </c>
    </row>
    <row r="114" spans="4:19" ht="18.75">
      <c r="D114" s="11">
        <v>9</v>
      </c>
      <c r="E114" s="12" t="s">
        <v>25</v>
      </c>
      <c r="F114" s="54" t="s">
        <v>92</v>
      </c>
      <c r="G114" s="51">
        <v>14500</v>
      </c>
      <c r="H114" s="51">
        <v>14500</v>
      </c>
      <c r="I114" s="56"/>
      <c r="J114" s="57">
        <f>G114-H114</f>
        <v>0</v>
      </c>
      <c r="K114" s="11">
        <v>9</v>
      </c>
      <c r="L114" s="12" t="s">
        <v>25</v>
      </c>
      <c r="M114" s="54" t="s">
        <v>68</v>
      </c>
      <c r="N114" s="51">
        <v>51003.040000000001</v>
      </c>
      <c r="O114" s="51">
        <v>51003.040000000001</v>
      </c>
      <c r="P114" s="56"/>
      <c r="Q114" s="52">
        <f t="shared" si="4"/>
        <v>0</v>
      </c>
    </row>
    <row r="115" spans="4:19" ht="18.75">
      <c r="D115" s="11"/>
      <c r="E115" s="12"/>
      <c r="F115" s="64" t="s">
        <v>82</v>
      </c>
      <c r="G115" s="137"/>
      <c r="H115" s="65">
        <v>4348.3999999999996</v>
      </c>
      <c r="I115" s="67"/>
      <c r="J115" s="68">
        <f>G115-H115</f>
        <v>-4348.3999999999996</v>
      </c>
      <c r="K115" s="11"/>
      <c r="L115" s="12"/>
      <c r="M115" s="54" t="s">
        <v>70</v>
      </c>
      <c r="N115" s="51">
        <v>24534.400000000001</v>
      </c>
      <c r="O115" s="51">
        <v>24534.400000000001</v>
      </c>
      <c r="P115" s="56"/>
      <c r="Q115" s="52">
        <f t="shared" si="4"/>
        <v>0</v>
      </c>
      <c r="S115" s="79"/>
    </row>
    <row r="116" spans="4:19" ht="18.75">
      <c r="D116" s="11"/>
      <c r="E116" s="12"/>
      <c r="F116" s="64" t="s">
        <v>100</v>
      </c>
      <c r="G116" s="65"/>
      <c r="H116" s="65">
        <v>1733.48</v>
      </c>
      <c r="I116" s="67"/>
      <c r="J116" s="68">
        <f>G116-H116</f>
        <v>-1733.48</v>
      </c>
      <c r="K116" s="11"/>
      <c r="L116" s="12"/>
      <c r="M116" s="54" t="s">
        <v>81</v>
      </c>
      <c r="N116" s="51">
        <v>3835.51</v>
      </c>
      <c r="O116" s="51">
        <v>3835.51</v>
      </c>
      <c r="P116" s="56"/>
      <c r="Q116" s="52">
        <f t="shared" si="4"/>
        <v>0</v>
      </c>
      <c r="S116" s="78"/>
    </row>
    <row r="117" spans="4:19" ht="18.75">
      <c r="D117" s="11"/>
      <c r="E117" s="12"/>
      <c r="F117" s="15"/>
      <c r="G117" s="21"/>
      <c r="H117" s="21"/>
      <c r="I117" s="47"/>
      <c r="J117" s="22"/>
      <c r="K117" s="11"/>
      <c r="L117" s="12"/>
      <c r="M117" s="54" t="s">
        <v>87</v>
      </c>
      <c r="N117" s="51">
        <v>41818.94</v>
      </c>
      <c r="O117" s="51">
        <v>41818.94</v>
      </c>
      <c r="P117" s="56"/>
      <c r="Q117" s="52">
        <f t="shared" si="4"/>
        <v>0</v>
      </c>
      <c r="S117" s="13"/>
    </row>
    <row r="118" spans="4:19" ht="18.75">
      <c r="D118" s="11"/>
      <c r="E118" s="12"/>
      <c r="F118" s="15"/>
      <c r="G118" s="21"/>
      <c r="H118" s="21"/>
      <c r="I118" s="47"/>
      <c r="J118" s="22"/>
      <c r="K118" s="11"/>
      <c r="L118" s="12"/>
      <c r="M118" s="54" t="s">
        <v>95</v>
      </c>
      <c r="N118" s="51">
        <v>15044.25</v>
      </c>
      <c r="O118" s="51">
        <v>15044.25</v>
      </c>
      <c r="P118" s="56"/>
      <c r="Q118" s="52">
        <f t="shared" si="4"/>
        <v>0</v>
      </c>
    </row>
    <row r="119" spans="4:19" ht="18.75">
      <c r="D119" s="11"/>
      <c r="E119" s="12"/>
      <c r="F119" s="15"/>
      <c r="G119" s="21"/>
      <c r="H119" s="21"/>
      <c r="I119" s="47"/>
      <c r="J119" s="22"/>
      <c r="K119" s="11"/>
      <c r="L119" s="12"/>
      <c r="M119" s="54" t="s">
        <v>102</v>
      </c>
      <c r="N119" s="51">
        <v>26305.54</v>
      </c>
      <c r="O119" s="51">
        <v>26305.54</v>
      </c>
      <c r="P119" s="56"/>
      <c r="Q119" s="52">
        <f t="shared" si="4"/>
        <v>0</v>
      </c>
    </row>
    <row r="120" spans="4:19" ht="18.75">
      <c r="D120" s="11"/>
      <c r="E120" s="12"/>
      <c r="F120" s="15"/>
      <c r="G120" s="21"/>
      <c r="H120" s="21"/>
      <c r="I120" s="47"/>
      <c r="J120" s="22"/>
      <c r="K120" s="11"/>
      <c r="L120" s="12"/>
      <c r="M120" s="54" t="s">
        <v>106</v>
      </c>
      <c r="N120" s="51">
        <v>97175.99</v>
      </c>
      <c r="O120" s="51">
        <v>97175.989999999991</v>
      </c>
      <c r="P120" s="56"/>
      <c r="Q120" s="52">
        <f t="shared" si="4"/>
        <v>0</v>
      </c>
    </row>
    <row r="121" spans="4:19" ht="18.75">
      <c r="D121" s="11"/>
      <c r="E121" s="12"/>
      <c r="F121" s="15"/>
      <c r="G121" s="21"/>
      <c r="H121" s="21"/>
      <c r="I121" s="47"/>
      <c r="J121" s="22"/>
      <c r="K121" s="11"/>
      <c r="L121" s="12"/>
      <c r="M121" s="54" t="s">
        <v>94</v>
      </c>
      <c r="N121" s="51">
        <v>52351.95</v>
      </c>
      <c r="O121" s="51">
        <v>52351.95</v>
      </c>
      <c r="P121" s="56"/>
      <c r="Q121" s="52">
        <f t="shared" si="4"/>
        <v>0</v>
      </c>
    </row>
    <row r="122" spans="4:19" ht="18.75">
      <c r="D122" s="11"/>
      <c r="E122" s="12"/>
      <c r="F122" s="15"/>
      <c r="G122" s="21"/>
      <c r="H122" s="21"/>
      <c r="I122" s="47"/>
      <c r="J122" s="22"/>
      <c r="K122" s="11"/>
      <c r="L122" s="12"/>
      <c r="M122" s="54" t="s">
        <v>125</v>
      </c>
      <c r="N122" s="51">
        <v>3240.16</v>
      </c>
      <c r="O122" s="51">
        <v>3240.16</v>
      </c>
      <c r="P122" s="56"/>
      <c r="Q122" s="52">
        <f t="shared" si="4"/>
        <v>0</v>
      </c>
    </row>
    <row r="123" spans="4:19" ht="18.75">
      <c r="D123" s="11"/>
      <c r="E123" s="12"/>
      <c r="F123" s="15"/>
      <c r="G123" s="21"/>
      <c r="H123" s="21"/>
      <c r="I123" s="47"/>
      <c r="J123" s="22"/>
      <c r="K123" s="11"/>
      <c r="L123" s="12"/>
      <c r="M123" s="54" t="s">
        <v>98</v>
      </c>
      <c r="N123" s="51">
        <v>112602.56</v>
      </c>
      <c r="O123" s="51">
        <v>112602.56</v>
      </c>
      <c r="P123" s="56"/>
      <c r="Q123" s="52">
        <f t="shared" si="4"/>
        <v>0</v>
      </c>
    </row>
    <row r="124" spans="4:19" ht="18.75">
      <c r="D124" s="11"/>
      <c r="E124" s="12"/>
      <c r="F124" s="15"/>
      <c r="G124" s="21"/>
      <c r="H124" s="21"/>
      <c r="I124" s="47"/>
      <c r="J124" s="22"/>
      <c r="K124" s="11"/>
      <c r="L124" s="12"/>
      <c r="M124" s="54" t="s">
        <v>99</v>
      </c>
      <c r="N124" s="51">
        <v>20275.68</v>
      </c>
      <c r="O124" s="51">
        <v>20275.68</v>
      </c>
      <c r="P124" s="56"/>
      <c r="Q124" s="52">
        <f t="shared" si="4"/>
        <v>0</v>
      </c>
    </row>
    <row r="125" spans="4:19" ht="18.75">
      <c r="D125" s="11"/>
      <c r="E125" s="12"/>
      <c r="F125" s="15"/>
      <c r="G125" s="21"/>
      <c r="H125" s="21"/>
      <c r="I125" s="47"/>
      <c r="J125" s="22"/>
      <c r="K125" s="11"/>
      <c r="L125" s="12"/>
      <c r="M125" s="54" t="s">
        <v>82</v>
      </c>
      <c r="N125" s="51">
        <v>73658.399999999994</v>
      </c>
      <c r="O125" s="51">
        <v>73658.400000000009</v>
      </c>
      <c r="P125" s="56"/>
      <c r="Q125" s="52">
        <f t="shared" si="4"/>
        <v>0</v>
      </c>
    </row>
    <row r="126" spans="4:19" ht="18.75">
      <c r="D126" s="11"/>
      <c r="E126" s="12"/>
      <c r="F126" s="15"/>
      <c r="G126" s="21"/>
      <c r="H126" s="21"/>
      <c r="I126" s="47"/>
      <c r="J126" s="22"/>
      <c r="K126" s="11"/>
      <c r="L126" s="12"/>
      <c r="M126" s="54" t="s">
        <v>100</v>
      </c>
      <c r="N126" s="51">
        <v>151665.03999999998</v>
      </c>
      <c r="O126" s="51">
        <v>151665.03999999998</v>
      </c>
      <c r="P126" s="56"/>
      <c r="Q126" s="52">
        <f t="shared" si="4"/>
        <v>0</v>
      </c>
    </row>
    <row r="127" spans="4:19" ht="18.75">
      <c r="D127" s="11"/>
      <c r="E127" s="12"/>
      <c r="F127" s="15"/>
      <c r="G127" s="21"/>
      <c r="H127" s="21"/>
      <c r="I127" s="47"/>
      <c r="J127" s="22"/>
      <c r="K127" s="11"/>
      <c r="L127" s="12"/>
      <c r="M127" s="142" t="s">
        <v>31</v>
      </c>
      <c r="N127" s="137">
        <v>41996.49</v>
      </c>
      <c r="O127" s="137">
        <v>41996.39</v>
      </c>
      <c r="P127" s="147"/>
      <c r="Q127" s="144">
        <f t="shared" si="4"/>
        <v>9.9999999998544808E-2</v>
      </c>
    </row>
    <row r="128" spans="4:19" ht="18.75">
      <c r="D128" s="11"/>
      <c r="E128" s="12"/>
      <c r="F128" s="15"/>
      <c r="G128" s="21"/>
      <c r="H128" s="21"/>
      <c r="I128" s="47"/>
      <c r="J128" s="22"/>
      <c r="K128" s="11"/>
      <c r="L128" s="12"/>
      <c r="M128" s="54" t="s">
        <v>103</v>
      </c>
      <c r="N128" s="51">
        <v>2481.4499999999998</v>
      </c>
      <c r="O128" s="51">
        <v>2481.4499999999998</v>
      </c>
      <c r="P128" s="56"/>
      <c r="Q128" s="52">
        <f t="shared" si="4"/>
        <v>0</v>
      </c>
    </row>
    <row r="129" spans="4:22" ht="18.75">
      <c r="D129" s="11"/>
      <c r="E129" s="12"/>
      <c r="F129" s="15"/>
      <c r="G129" s="21"/>
      <c r="H129" s="21"/>
      <c r="I129" s="47"/>
      <c r="J129" s="22"/>
      <c r="K129" s="11"/>
      <c r="L129" s="12"/>
      <c r="M129" s="54" t="s">
        <v>116</v>
      </c>
      <c r="N129" s="51">
        <v>155709.68</v>
      </c>
      <c r="O129" s="51">
        <v>155709.68</v>
      </c>
      <c r="P129" s="56"/>
      <c r="Q129" s="52">
        <f t="shared" si="4"/>
        <v>0</v>
      </c>
    </row>
    <row r="130" spans="4:22" ht="18.75">
      <c r="D130" s="11"/>
      <c r="E130" s="12"/>
      <c r="F130" s="15"/>
      <c r="G130" s="21"/>
      <c r="H130" s="21"/>
      <c r="I130" s="47"/>
      <c r="J130" s="22"/>
      <c r="K130" s="11"/>
      <c r="L130" s="12"/>
      <c r="M130" s="54" t="s">
        <v>97</v>
      </c>
      <c r="N130" s="51">
        <v>26009.33</v>
      </c>
      <c r="O130" s="51">
        <v>26009.33</v>
      </c>
      <c r="P130" s="56"/>
      <c r="Q130" s="52">
        <f t="shared" si="4"/>
        <v>0</v>
      </c>
    </row>
    <row r="131" spans="4:22" ht="18.75">
      <c r="D131" s="11"/>
      <c r="E131" s="12"/>
      <c r="F131" s="15"/>
      <c r="G131" s="21"/>
      <c r="H131" s="21"/>
      <c r="I131" s="47"/>
      <c r="J131" s="22"/>
      <c r="K131" s="11"/>
      <c r="L131" s="12"/>
      <c r="M131" s="54" t="s">
        <v>62</v>
      </c>
      <c r="N131" s="51">
        <v>33835.33</v>
      </c>
      <c r="O131" s="51">
        <v>33835.33</v>
      </c>
      <c r="P131" s="47">
        <f>SUM(N114:N131)</f>
        <v>933543.73999999976</v>
      </c>
      <c r="Q131" s="52">
        <f t="shared" si="4"/>
        <v>0</v>
      </c>
      <c r="S131" s="19"/>
    </row>
    <row r="132" spans="4:22" ht="18.75">
      <c r="D132" s="11">
        <v>10</v>
      </c>
      <c r="E132" s="12" t="s">
        <v>26</v>
      </c>
      <c r="F132" s="15"/>
      <c r="G132" s="21"/>
      <c r="H132" s="21"/>
      <c r="I132" s="47"/>
      <c r="J132" s="40">
        <f>G132-H132</f>
        <v>0</v>
      </c>
      <c r="K132" s="11">
        <v>10</v>
      </c>
      <c r="L132" s="12" t="s">
        <v>26</v>
      </c>
      <c r="M132" s="142" t="s">
        <v>158</v>
      </c>
      <c r="N132" s="137"/>
      <c r="O132" s="137">
        <v>25927.96</v>
      </c>
      <c r="P132" s="147"/>
      <c r="Q132" s="144">
        <f t="shared" si="4"/>
        <v>-25927.96</v>
      </c>
      <c r="R132" s="24"/>
      <c r="S132" s="43"/>
      <c r="T132" s="24"/>
      <c r="V132" s="25">
        <f>N132-T132</f>
        <v>0</v>
      </c>
    </row>
    <row r="133" spans="4:22" ht="18.75">
      <c r="D133" s="11"/>
      <c r="E133" s="12"/>
      <c r="F133" s="15"/>
      <c r="G133" s="21"/>
      <c r="H133" s="21"/>
      <c r="I133" s="47"/>
      <c r="J133" s="22"/>
      <c r="K133" s="11"/>
      <c r="L133" s="12"/>
      <c r="M133" s="142" t="s">
        <v>81</v>
      </c>
      <c r="N133" s="137"/>
      <c r="O133" s="137">
        <v>25859.35</v>
      </c>
      <c r="P133" s="147"/>
      <c r="Q133" s="144">
        <f t="shared" si="4"/>
        <v>-25859.35</v>
      </c>
      <c r="R133" s="24"/>
      <c r="S133" s="44"/>
      <c r="T133" s="24"/>
      <c r="V133" s="25"/>
    </row>
    <row r="134" spans="4:22" ht="18.75">
      <c r="D134" s="11"/>
      <c r="E134" s="12"/>
      <c r="F134" s="15"/>
      <c r="G134" s="21"/>
      <c r="H134" s="21"/>
      <c r="I134" s="47"/>
      <c r="J134" s="22"/>
      <c r="K134" s="11"/>
      <c r="L134" s="12"/>
      <c r="M134" s="142" t="s">
        <v>87</v>
      </c>
      <c r="N134" s="137"/>
      <c r="O134" s="137">
        <v>24779.14</v>
      </c>
      <c r="P134" s="147"/>
      <c r="Q134" s="144">
        <f t="shared" si="4"/>
        <v>-24779.14</v>
      </c>
      <c r="R134" s="24"/>
      <c r="S134" s="44"/>
      <c r="T134" s="24"/>
      <c r="V134" s="25"/>
    </row>
    <row r="135" spans="4:22" ht="18.75">
      <c r="D135" s="11"/>
      <c r="E135" s="12"/>
      <c r="F135" s="15"/>
      <c r="G135" s="21"/>
      <c r="H135" s="21"/>
      <c r="I135" s="47"/>
      <c r="J135" s="22"/>
      <c r="K135" s="11"/>
      <c r="L135" s="12"/>
      <c r="M135" s="142" t="s">
        <v>95</v>
      </c>
      <c r="N135" s="137"/>
      <c r="O135" s="137">
        <v>40434.490000000005</v>
      </c>
      <c r="P135" s="147"/>
      <c r="Q135" s="144">
        <f t="shared" si="4"/>
        <v>-40434.490000000005</v>
      </c>
      <c r="R135" s="24"/>
      <c r="S135" s="44"/>
      <c r="T135" s="24"/>
      <c r="V135" s="25"/>
    </row>
    <row r="136" spans="4:22" ht="18.75">
      <c r="D136" s="11"/>
      <c r="E136" s="12"/>
      <c r="F136" s="15"/>
      <c r="G136" s="21"/>
      <c r="H136" s="21"/>
      <c r="I136" s="47"/>
      <c r="J136" s="22"/>
      <c r="K136" s="11"/>
      <c r="L136" s="12"/>
      <c r="M136" s="142" t="s">
        <v>97</v>
      </c>
      <c r="N136" s="137"/>
      <c r="O136" s="137">
        <v>60887.3</v>
      </c>
      <c r="P136" s="147"/>
      <c r="Q136" s="144">
        <f t="shared" si="4"/>
        <v>-60887.3</v>
      </c>
      <c r="R136" s="24"/>
      <c r="S136" s="44"/>
      <c r="T136" s="24"/>
      <c r="V136" s="25"/>
    </row>
    <row r="137" spans="4:22" ht="18.75">
      <c r="D137" s="11"/>
      <c r="E137" s="12"/>
      <c r="F137" s="15"/>
      <c r="G137" s="21"/>
      <c r="H137" s="21"/>
      <c r="I137" s="47"/>
      <c r="J137" s="22"/>
      <c r="K137" s="11"/>
      <c r="L137" s="12"/>
      <c r="M137" s="142" t="s">
        <v>102</v>
      </c>
      <c r="N137" s="137"/>
      <c r="O137" s="51">
        <v>78598.320000000007</v>
      </c>
      <c r="P137" s="56"/>
      <c r="Q137" s="52">
        <f t="shared" si="4"/>
        <v>-78598.320000000007</v>
      </c>
      <c r="R137" s="24"/>
      <c r="S137" s="44"/>
      <c r="T137" s="24"/>
      <c r="V137" s="25"/>
    </row>
    <row r="138" spans="4:22" ht="18.75">
      <c r="D138" s="11"/>
      <c r="E138" s="12"/>
      <c r="F138" s="15"/>
      <c r="G138" s="21"/>
      <c r="H138" s="21"/>
      <c r="I138" s="47"/>
      <c r="J138" s="22"/>
      <c r="K138" s="11"/>
      <c r="L138" s="12"/>
      <c r="M138" s="142" t="s">
        <v>106</v>
      </c>
      <c r="N138" s="137"/>
      <c r="O138" s="137">
        <v>10634.57</v>
      </c>
      <c r="P138" s="147"/>
      <c r="Q138" s="144">
        <f t="shared" si="4"/>
        <v>-10634.57</v>
      </c>
      <c r="R138" s="24"/>
      <c r="S138" s="44"/>
      <c r="T138" s="24"/>
      <c r="V138" s="25"/>
    </row>
    <row r="139" spans="4:22" ht="18.75">
      <c r="D139" s="11"/>
      <c r="E139" s="12"/>
      <c r="F139" s="15"/>
      <c r="G139" s="21"/>
      <c r="H139" s="21"/>
      <c r="I139" s="47"/>
      <c r="J139" s="22"/>
      <c r="K139" s="11"/>
      <c r="L139" s="12"/>
      <c r="M139" s="142" t="s">
        <v>96</v>
      </c>
      <c r="N139" s="137"/>
      <c r="O139" s="137">
        <v>53548.27</v>
      </c>
      <c r="P139" s="147"/>
      <c r="Q139" s="144">
        <f t="shared" si="4"/>
        <v>-53548.27</v>
      </c>
      <c r="R139" s="24"/>
      <c r="S139" s="44"/>
      <c r="T139" s="24"/>
      <c r="V139" s="25"/>
    </row>
    <row r="140" spans="4:22" ht="18.75">
      <c r="D140" s="11"/>
      <c r="E140" s="12"/>
      <c r="F140" s="15"/>
      <c r="G140" s="21"/>
      <c r="H140" s="21"/>
      <c r="I140" s="47"/>
      <c r="J140" s="22"/>
      <c r="K140" s="11"/>
      <c r="L140" s="12"/>
      <c r="M140" s="142" t="s">
        <v>94</v>
      </c>
      <c r="N140" s="137"/>
      <c r="O140" s="137">
        <v>51550.49</v>
      </c>
      <c r="P140" s="147"/>
      <c r="Q140" s="144">
        <f t="shared" si="4"/>
        <v>-51550.49</v>
      </c>
      <c r="R140" s="24"/>
      <c r="S140" s="44"/>
      <c r="T140" s="24"/>
      <c r="V140" s="25"/>
    </row>
    <row r="141" spans="4:22" ht="18.75">
      <c r="D141" s="11"/>
      <c r="E141" s="12"/>
      <c r="F141" s="15"/>
      <c r="G141" s="21"/>
      <c r="H141" s="21"/>
      <c r="I141" s="47"/>
      <c r="J141" s="22"/>
      <c r="K141" s="11"/>
      <c r="L141" s="12"/>
      <c r="M141" s="142" t="s">
        <v>125</v>
      </c>
      <c r="N141" s="137"/>
      <c r="O141" s="137">
        <v>2029.67</v>
      </c>
      <c r="P141" s="147"/>
      <c r="Q141" s="144">
        <f t="shared" si="4"/>
        <v>-2029.67</v>
      </c>
      <c r="R141" s="24"/>
      <c r="S141" s="44"/>
      <c r="T141" s="24"/>
      <c r="V141" s="25"/>
    </row>
    <row r="142" spans="4:22" ht="18.75">
      <c r="D142" s="11"/>
      <c r="E142" s="12"/>
      <c r="F142" s="15"/>
      <c r="G142" s="21"/>
      <c r="H142" s="21"/>
      <c r="I142" s="47"/>
      <c r="J142" s="22"/>
      <c r="K142" s="11"/>
      <c r="L142" s="12"/>
      <c r="M142" s="142" t="s">
        <v>82</v>
      </c>
      <c r="N142" s="137"/>
      <c r="O142" s="137">
        <v>2156.0500000000002</v>
      </c>
      <c r="P142" s="147"/>
      <c r="Q142" s="144">
        <f t="shared" si="4"/>
        <v>-2156.0500000000002</v>
      </c>
      <c r="R142" s="24"/>
      <c r="S142" s="44"/>
      <c r="T142" s="24"/>
      <c r="V142" s="25"/>
    </row>
    <row r="143" spans="4:22" ht="18.75">
      <c r="D143" s="11"/>
      <c r="E143" s="12"/>
      <c r="F143" s="15"/>
      <c r="G143" s="21"/>
      <c r="H143" s="21"/>
      <c r="I143" s="47"/>
      <c r="J143" s="22"/>
      <c r="K143" s="11"/>
      <c r="L143" s="12"/>
      <c r="M143" s="142" t="s">
        <v>101</v>
      </c>
      <c r="N143" s="137"/>
      <c r="O143" s="137">
        <v>96898.260000000024</v>
      </c>
      <c r="P143" s="147"/>
      <c r="Q143" s="144">
        <f t="shared" si="4"/>
        <v>-96898.260000000024</v>
      </c>
      <c r="R143" s="24"/>
      <c r="S143" s="44"/>
      <c r="T143" s="24"/>
      <c r="V143" s="25"/>
    </row>
    <row r="144" spans="4:22" ht="18.75">
      <c r="D144" s="11"/>
      <c r="E144" s="12"/>
      <c r="F144" s="15"/>
      <c r="G144" s="21"/>
      <c r="H144" s="21"/>
      <c r="I144" s="47"/>
      <c r="J144" s="22"/>
      <c r="K144" s="11"/>
      <c r="L144" s="12"/>
      <c r="M144" s="142" t="s">
        <v>31</v>
      </c>
      <c r="N144" s="137"/>
      <c r="O144" s="137">
        <v>91856.38</v>
      </c>
      <c r="P144" s="147"/>
      <c r="Q144" s="144">
        <f t="shared" si="4"/>
        <v>-91856.38</v>
      </c>
      <c r="R144" s="24"/>
      <c r="S144" s="44"/>
      <c r="T144" s="24"/>
      <c r="V144" s="25"/>
    </row>
    <row r="145" spans="4:22" ht="18.75">
      <c r="D145" s="11"/>
      <c r="E145" s="12"/>
      <c r="F145" s="15"/>
      <c r="G145" s="21"/>
      <c r="H145" s="21"/>
      <c r="I145" s="47"/>
      <c r="J145" s="22"/>
      <c r="K145" s="11"/>
      <c r="L145" s="12"/>
      <c r="M145" s="142" t="s">
        <v>134</v>
      </c>
      <c r="N145" s="137"/>
      <c r="O145" s="137">
        <v>10313.620000000001</v>
      </c>
      <c r="P145" s="147"/>
      <c r="Q145" s="144">
        <f t="shared" si="4"/>
        <v>-10313.620000000001</v>
      </c>
      <c r="R145" s="24"/>
      <c r="S145" s="44"/>
      <c r="T145" s="24"/>
      <c r="V145" s="25"/>
    </row>
    <row r="146" spans="4:22" ht="18.75">
      <c r="D146" s="11"/>
      <c r="E146" s="12"/>
      <c r="F146" s="15"/>
      <c r="G146" s="21"/>
      <c r="H146" s="21"/>
      <c r="I146" s="47"/>
      <c r="J146" s="22"/>
      <c r="K146" s="11"/>
      <c r="L146" s="12"/>
      <c r="M146" s="142" t="s">
        <v>103</v>
      </c>
      <c r="N146" s="137"/>
      <c r="O146" s="137">
        <v>52479.02</v>
      </c>
      <c r="P146" s="147"/>
      <c r="Q146" s="144">
        <f t="shared" si="4"/>
        <v>-52479.02</v>
      </c>
      <c r="R146" s="24"/>
      <c r="S146" s="44"/>
      <c r="T146" s="24"/>
      <c r="V146" s="25"/>
    </row>
    <row r="147" spans="4:22" ht="18.75">
      <c r="D147" s="11"/>
      <c r="E147" s="12"/>
      <c r="F147" s="15"/>
      <c r="G147" s="21"/>
      <c r="H147" s="21"/>
      <c r="I147" s="47"/>
      <c r="J147" s="22"/>
      <c r="K147" s="11"/>
      <c r="L147" s="12"/>
      <c r="M147" s="142" t="s">
        <v>132</v>
      </c>
      <c r="N147" s="137"/>
      <c r="O147" s="137">
        <v>26104.03</v>
      </c>
      <c r="P147" s="147"/>
      <c r="Q147" s="144">
        <f t="shared" si="4"/>
        <v>-26104.03</v>
      </c>
      <c r="R147" s="24"/>
      <c r="S147" s="44"/>
      <c r="T147" s="24"/>
      <c r="V147" s="25"/>
    </row>
    <row r="148" spans="4:22" ht="18.75">
      <c r="D148" s="11"/>
      <c r="E148" s="12"/>
      <c r="F148" s="15"/>
      <c r="G148" s="21"/>
      <c r="H148" s="21"/>
      <c r="I148" s="47"/>
      <c r="J148" s="22"/>
      <c r="K148" s="11"/>
      <c r="L148" s="12"/>
      <c r="M148" s="142" t="s">
        <v>138</v>
      </c>
      <c r="N148" s="137"/>
      <c r="O148" s="137">
        <v>111637.91</v>
      </c>
      <c r="P148" s="147"/>
      <c r="Q148" s="144">
        <f t="shared" si="4"/>
        <v>-111637.91</v>
      </c>
      <c r="R148" s="24"/>
      <c r="S148" s="44"/>
      <c r="T148" s="24"/>
      <c r="V148" s="25"/>
    </row>
    <row r="149" spans="4:22" ht="18.75">
      <c r="D149" s="11"/>
      <c r="E149" s="12"/>
      <c r="F149" s="15"/>
      <c r="G149" s="21"/>
      <c r="H149" s="21"/>
      <c r="I149" s="47"/>
      <c r="J149" s="22"/>
      <c r="K149" s="11"/>
      <c r="L149" s="12"/>
      <c r="M149" s="142" t="s">
        <v>63</v>
      </c>
      <c r="N149" s="137"/>
      <c r="O149" s="137">
        <v>49418.210000000006</v>
      </c>
      <c r="P149" s="147"/>
      <c r="Q149" s="144">
        <f t="shared" si="4"/>
        <v>-49418.210000000006</v>
      </c>
      <c r="R149" s="24"/>
      <c r="S149" s="44"/>
      <c r="T149" s="24"/>
      <c r="V149" s="25"/>
    </row>
    <row r="150" spans="4:22" ht="18.75">
      <c r="D150" s="11">
        <v>11</v>
      </c>
      <c r="E150" s="12" t="s">
        <v>27</v>
      </c>
      <c r="F150" s="64" t="s">
        <v>93</v>
      </c>
      <c r="G150" s="65"/>
      <c r="H150" s="51">
        <v>322.52999999999997</v>
      </c>
      <c r="I150" s="67"/>
      <c r="J150" s="68">
        <f>G150-H150</f>
        <v>-322.52999999999997</v>
      </c>
      <c r="K150" s="11">
        <v>11</v>
      </c>
      <c r="L150" s="12" t="s">
        <v>27</v>
      </c>
      <c r="M150" s="142" t="s">
        <v>31</v>
      </c>
      <c r="N150" s="137">
        <v>51194.42</v>
      </c>
      <c r="O150" s="137">
        <v>50898.76</v>
      </c>
      <c r="P150" s="147">
        <f>N150</f>
        <v>51194.42</v>
      </c>
      <c r="Q150" s="144">
        <f t="shared" si="4"/>
        <v>295.65999999999622</v>
      </c>
      <c r="T150" s="14">
        <f>SUM(T132:T132)</f>
        <v>0</v>
      </c>
    </row>
    <row r="151" spans="4:22" ht="18.75">
      <c r="D151" s="11"/>
      <c r="E151" s="12"/>
      <c r="F151" s="15"/>
      <c r="G151" s="21"/>
      <c r="H151" s="21"/>
      <c r="I151" s="47"/>
      <c r="J151" s="22"/>
      <c r="K151" s="11"/>
      <c r="L151" s="12"/>
      <c r="M151" s="15"/>
      <c r="N151" s="21"/>
      <c r="O151" s="21"/>
      <c r="P151" s="47"/>
      <c r="Q151" s="34"/>
      <c r="T151" s="14"/>
    </row>
    <row r="152" spans="4:22" ht="18.75">
      <c r="D152" s="11">
        <v>12</v>
      </c>
      <c r="E152" s="12" t="s">
        <v>28</v>
      </c>
      <c r="F152" s="54" t="s">
        <v>92</v>
      </c>
      <c r="G152" s="51">
        <v>7542.6</v>
      </c>
      <c r="H152" s="51">
        <v>7542.6</v>
      </c>
      <c r="I152" s="76"/>
      <c r="J152" s="57">
        <f>G152-H152</f>
        <v>0</v>
      </c>
      <c r="K152" s="11">
        <v>12</v>
      </c>
      <c r="L152" s="12" t="s">
        <v>28</v>
      </c>
      <c r="M152" s="54" t="s">
        <v>84</v>
      </c>
      <c r="N152" s="51">
        <v>5770.24</v>
      </c>
      <c r="O152" s="51">
        <v>5770.24</v>
      </c>
      <c r="P152" s="56"/>
      <c r="Q152" s="52">
        <f t="shared" ref="Q152:Q175" si="5">N152-O152</f>
        <v>0</v>
      </c>
      <c r="S152" s="45"/>
    </row>
    <row r="153" spans="4:22" ht="18.75">
      <c r="D153" s="11"/>
      <c r="E153" s="12"/>
      <c r="F153" s="142" t="s">
        <v>30</v>
      </c>
      <c r="G153" s="65">
        <v>15970.66</v>
      </c>
      <c r="H153" s="137"/>
      <c r="I153" s="77"/>
      <c r="J153" s="139">
        <f>G153-H153</f>
        <v>15970.66</v>
      </c>
      <c r="K153" s="11"/>
      <c r="L153" s="12"/>
      <c r="M153" s="54" t="s">
        <v>102</v>
      </c>
      <c r="N153" s="51">
        <v>25692.84</v>
      </c>
      <c r="O153" s="51">
        <v>25692.84</v>
      </c>
      <c r="P153" s="56"/>
      <c r="Q153" s="52">
        <f t="shared" si="5"/>
        <v>0</v>
      </c>
      <c r="S153" s="61"/>
    </row>
    <row r="154" spans="4:22" ht="18.75">
      <c r="D154" s="11"/>
      <c r="E154" s="12"/>
      <c r="F154" s="64" t="s">
        <v>29</v>
      </c>
      <c r="G154" s="65">
        <v>4319.47</v>
      </c>
      <c r="H154" s="65"/>
      <c r="I154" s="77"/>
      <c r="J154" s="68">
        <f>G154-H154</f>
        <v>4319.47</v>
      </c>
      <c r="K154" s="11"/>
      <c r="L154" s="12"/>
      <c r="M154" s="54" t="s">
        <v>104</v>
      </c>
      <c r="N154" s="51">
        <v>51111.75</v>
      </c>
      <c r="O154" s="51">
        <v>51111.75</v>
      </c>
      <c r="P154" s="56"/>
      <c r="Q154" s="52">
        <f t="shared" si="5"/>
        <v>0</v>
      </c>
      <c r="S154" s="61"/>
    </row>
    <row r="155" spans="4:22" ht="18.75">
      <c r="D155" s="11"/>
      <c r="E155" s="12"/>
      <c r="F155" s="15"/>
      <c r="G155" s="21"/>
      <c r="H155" s="21"/>
      <c r="I155" s="31"/>
      <c r="J155" s="40"/>
      <c r="K155" s="11"/>
      <c r="L155" s="12"/>
      <c r="M155" s="54" t="s">
        <v>106</v>
      </c>
      <c r="N155" s="51">
        <v>256.33999999999997</v>
      </c>
      <c r="O155" s="51">
        <v>256.33999999999997</v>
      </c>
      <c r="P155" s="56"/>
      <c r="Q155" s="52">
        <f t="shared" si="5"/>
        <v>0</v>
      </c>
      <c r="S155" s="61"/>
    </row>
    <row r="156" spans="4:22" ht="18.75">
      <c r="D156" s="11"/>
      <c r="E156" s="12"/>
      <c r="F156" s="15"/>
      <c r="G156" s="21"/>
      <c r="H156" s="21"/>
      <c r="I156" s="31"/>
      <c r="J156" s="40"/>
      <c r="K156" s="11"/>
      <c r="L156" s="12"/>
      <c r="M156" s="54" t="s">
        <v>99</v>
      </c>
      <c r="N156" s="51">
        <v>649.67999999999995</v>
      </c>
      <c r="O156" s="51">
        <v>649.67999999999995</v>
      </c>
      <c r="P156" s="56"/>
      <c r="Q156" s="52">
        <f t="shared" si="5"/>
        <v>0</v>
      </c>
      <c r="S156" s="61"/>
    </row>
    <row r="157" spans="4:22" ht="18.75">
      <c r="D157" s="11"/>
      <c r="E157" s="12"/>
      <c r="F157" s="15"/>
      <c r="G157" s="21"/>
      <c r="H157" s="21"/>
      <c r="I157" s="31"/>
      <c r="J157" s="40"/>
      <c r="K157" s="11"/>
      <c r="L157" s="12"/>
      <c r="M157" s="142" t="s">
        <v>31</v>
      </c>
      <c r="N157" s="137">
        <v>77020.08</v>
      </c>
      <c r="O157" s="137">
        <v>106957.55</v>
      </c>
      <c r="P157" s="147"/>
      <c r="Q157" s="144">
        <f t="shared" si="5"/>
        <v>-29937.47</v>
      </c>
      <c r="S157" s="61"/>
    </row>
    <row r="158" spans="4:22" ht="18.75">
      <c r="D158" s="11"/>
      <c r="E158" s="12"/>
      <c r="F158" s="15"/>
      <c r="G158" s="21"/>
      <c r="H158" s="21"/>
      <c r="I158" s="31"/>
      <c r="J158" s="40"/>
      <c r="K158" s="11"/>
      <c r="L158" s="12"/>
      <c r="M158" s="54" t="s">
        <v>103</v>
      </c>
      <c r="N158" s="51">
        <v>50071.24</v>
      </c>
      <c r="O158" s="51">
        <v>50071.24</v>
      </c>
      <c r="P158" s="56"/>
      <c r="Q158" s="52">
        <f t="shared" si="5"/>
        <v>0</v>
      </c>
      <c r="S158" s="61"/>
    </row>
    <row r="159" spans="4:22" ht="18.75">
      <c r="D159" s="11"/>
      <c r="E159" s="12"/>
      <c r="F159" s="15"/>
      <c r="G159" s="21"/>
      <c r="H159" s="21"/>
      <c r="I159" s="31"/>
      <c r="J159" s="40"/>
      <c r="K159" s="11"/>
      <c r="L159" s="12"/>
      <c r="M159" s="54" t="s">
        <v>116</v>
      </c>
      <c r="N159" s="51">
        <v>26071.48</v>
      </c>
      <c r="O159" s="51">
        <v>26071.48</v>
      </c>
      <c r="P159" s="56"/>
      <c r="Q159" s="52">
        <f t="shared" si="5"/>
        <v>0</v>
      </c>
      <c r="S159" s="61"/>
    </row>
    <row r="160" spans="4:22" ht="18.75">
      <c r="D160" s="11"/>
      <c r="E160" s="12"/>
      <c r="F160" s="15"/>
      <c r="G160" s="21"/>
      <c r="H160" s="21"/>
      <c r="I160" s="31"/>
      <c r="J160" s="40"/>
      <c r="K160" s="11"/>
      <c r="L160" s="12"/>
      <c r="M160" s="54" t="s">
        <v>62</v>
      </c>
      <c r="N160" s="51">
        <v>25677.360000000001</v>
      </c>
      <c r="O160" s="51">
        <v>25677.360000000001</v>
      </c>
      <c r="P160" s="56"/>
      <c r="Q160" s="52">
        <f t="shared" si="5"/>
        <v>0</v>
      </c>
      <c r="S160" s="61"/>
    </row>
    <row r="161" spans="4:19" ht="18.75">
      <c r="D161" s="11"/>
      <c r="E161" s="12"/>
      <c r="F161" s="15"/>
      <c r="G161" s="21"/>
      <c r="H161" s="21"/>
      <c r="I161" s="31"/>
      <c r="J161" s="40"/>
      <c r="K161" s="11"/>
      <c r="L161" s="12"/>
      <c r="M161" s="142" t="s">
        <v>68</v>
      </c>
      <c r="N161" s="137">
        <v>298.60000000000002</v>
      </c>
      <c r="O161" s="137"/>
      <c r="P161" s="147"/>
      <c r="Q161" s="144">
        <f t="shared" si="5"/>
        <v>298.60000000000002</v>
      </c>
      <c r="S161" s="61"/>
    </row>
    <row r="162" spans="4:19" ht="18.75">
      <c r="D162" s="11"/>
      <c r="E162" s="12"/>
      <c r="F162" s="15"/>
      <c r="G162" s="21"/>
      <c r="H162" s="21"/>
      <c r="I162" s="31"/>
      <c r="J162" s="40"/>
      <c r="K162" s="11"/>
      <c r="L162" s="12"/>
      <c r="M162" s="142" t="s">
        <v>100</v>
      </c>
      <c r="N162" s="137">
        <v>212.76</v>
      </c>
      <c r="O162" s="137"/>
      <c r="P162" s="147">
        <f>SUM(N152:N162)</f>
        <v>262832.37</v>
      </c>
      <c r="Q162" s="144">
        <f t="shared" si="5"/>
        <v>212.76</v>
      </c>
      <c r="S162" s="61"/>
    </row>
    <row r="163" spans="4:19" ht="18.75">
      <c r="D163" s="11">
        <v>13</v>
      </c>
      <c r="E163" s="12" t="s">
        <v>29</v>
      </c>
      <c r="F163" s="15"/>
      <c r="G163" s="21"/>
      <c r="H163" s="21"/>
      <c r="I163" s="31"/>
      <c r="J163" s="22"/>
      <c r="K163" s="11">
        <v>13</v>
      </c>
      <c r="L163" s="12" t="s">
        <v>29</v>
      </c>
      <c r="M163" s="54" t="s">
        <v>81</v>
      </c>
      <c r="N163" s="51">
        <v>2086.31</v>
      </c>
      <c r="O163" s="51">
        <v>2086.31</v>
      </c>
      <c r="P163" s="47">
        <f>N163</f>
        <v>2086.31</v>
      </c>
      <c r="Q163" s="52">
        <f t="shared" si="5"/>
        <v>0</v>
      </c>
    </row>
    <row r="164" spans="4:19" s="1" customFormat="1" ht="18.75">
      <c r="D164" s="8"/>
      <c r="E164" s="3"/>
      <c r="F164" s="15"/>
      <c r="G164" s="21"/>
      <c r="H164" s="21"/>
      <c r="I164" s="31"/>
      <c r="J164" s="22"/>
      <c r="K164" s="8"/>
      <c r="L164" s="3"/>
      <c r="M164" s="142" t="s">
        <v>107</v>
      </c>
      <c r="N164" s="137"/>
      <c r="O164" s="137">
        <v>4319.47</v>
      </c>
      <c r="P164" s="147"/>
      <c r="Q164" s="144">
        <f t="shared" si="5"/>
        <v>-4319.47</v>
      </c>
    </row>
    <row r="165" spans="4:19" ht="18.75">
      <c r="D165" s="11">
        <v>14</v>
      </c>
      <c r="E165" s="12" t="s">
        <v>30</v>
      </c>
      <c r="F165" s="15"/>
      <c r="G165" s="39"/>
      <c r="H165" s="21"/>
      <c r="I165" s="47"/>
      <c r="J165" s="22"/>
      <c r="K165" s="11">
        <v>14</v>
      </c>
      <c r="L165" s="12" t="s">
        <v>30</v>
      </c>
      <c r="M165" s="54" t="s">
        <v>68</v>
      </c>
      <c r="N165" s="51">
        <v>2889.47</v>
      </c>
      <c r="O165" s="51">
        <v>2889.47</v>
      </c>
      <c r="P165" s="56"/>
      <c r="Q165" s="52">
        <f t="shared" si="5"/>
        <v>0</v>
      </c>
    </row>
    <row r="166" spans="4:19" ht="18.75">
      <c r="D166" s="11"/>
      <c r="E166" s="12"/>
      <c r="F166" s="15"/>
      <c r="G166" s="39"/>
      <c r="H166" s="21"/>
      <c r="I166" s="47"/>
      <c r="J166" s="22"/>
      <c r="K166" s="11"/>
      <c r="L166" s="12"/>
      <c r="M166" s="54" t="s">
        <v>81</v>
      </c>
      <c r="N166" s="51">
        <v>12996.38</v>
      </c>
      <c r="O166" s="51">
        <v>12996.38</v>
      </c>
      <c r="P166" s="56"/>
      <c r="Q166" s="52">
        <f t="shared" si="5"/>
        <v>0</v>
      </c>
      <c r="R166" s="24"/>
    </row>
    <row r="167" spans="4:19" ht="18.75">
      <c r="D167" s="11"/>
      <c r="E167" s="12"/>
      <c r="F167" s="15"/>
      <c r="G167" s="39"/>
      <c r="H167" s="21"/>
      <c r="I167" s="47"/>
      <c r="J167" s="22"/>
      <c r="K167" s="11"/>
      <c r="L167" s="12"/>
      <c r="M167" s="142" t="s">
        <v>102</v>
      </c>
      <c r="N167" s="137">
        <v>38057.799999999996</v>
      </c>
      <c r="O167" s="51">
        <v>37666.379999999997</v>
      </c>
      <c r="P167" s="56"/>
      <c r="Q167" s="52">
        <f t="shared" si="5"/>
        <v>391.41999999999825</v>
      </c>
      <c r="R167" s="164">
        <f>Q167*100/N167</f>
        <v>1.0284882468245624</v>
      </c>
    </row>
    <row r="168" spans="4:19" ht="18.75">
      <c r="D168" s="11"/>
      <c r="E168" s="12"/>
      <c r="F168" s="15"/>
      <c r="G168" s="39"/>
      <c r="H168" s="21"/>
      <c r="I168" s="47"/>
      <c r="J168" s="22"/>
      <c r="K168" s="11"/>
      <c r="L168" s="12"/>
      <c r="M168" s="142" t="s">
        <v>106</v>
      </c>
      <c r="N168" s="137">
        <v>2918.23</v>
      </c>
      <c r="O168" s="137">
        <v>4388.42</v>
      </c>
      <c r="P168" s="147"/>
      <c r="Q168" s="144">
        <f t="shared" si="5"/>
        <v>-1470.19</v>
      </c>
    </row>
    <row r="169" spans="4:19" ht="18.75">
      <c r="D169" s="11"/>
      <c r="E169" s="12"/>
      <c r="F169" s="15"/>
      <c r="G169" s="39"/>
      <c r="H169" s="21"/>
      <c r="I169" s="47"/>
      <c r="J169" s="22"/>
      <c r="K169" s="11"/>
      <c r="L169" s="12"/>
      <c r="M169" s="142" t="s">
        <v>99</v>
      </c>
      <c r="N169" s="137">
        <v>29018.489999999998</v>
      </c>
      <c r="O169" s="137">
        <v>12303.439999999999</v>
      </c>
      <c r="P169" s="147"/>
      <c r="Q169" s="144">
        <f t="shared" si="5"/>
        <v>16715.05</v>
      </c>
    </row>
    <row r="170" spans="4:19" ht="18.75">
      <c r="D170" s="11"/>
      <c r="E170" s="12"/>
      <c r="F170" s="15"/>
      <c r="G170" s="39"/>
      <c r="H170" s="21"/>
      <c r="I170" s="47"/>
      <c r="J170" s="22"/>
      <c r="K170" s="11"/>
      <c r="L170" s="12"/>
      <c r="M170" s="142" t="s">
        <v>88</v>
      </c>
      <c r="N170" s="137">
        <v>1610.3</v>
      </c>
      <c r="O170" s="137">
        <v>0</v>
      </c>
      <c r="P170" s="147"/>
      <c r="Q170" s="144">
        <f t="shared" si="5"/>
        <v>1610.3</v>
      </c>
    </row>
    <row r="171" spans="4:19" ht="18.75">
      <c r="D171" s="11"/>
      <c r="E171" s="12"/>
      <c r="F171" s="15"/>
      <c r="G171" s="39"/>
      <c r="H171" s="21"/>
      <c r="I171" s="47"/>
      <c r="J171" s="22"/>
      <c r="K171" s="11"/>
      <c r="L171" s="12"/>
      <c r="M171" s="54" t="s">
        <v>89</v>
      </c>
      <c r="N171" s="51">
        <v>41184.18</v>
      </c>
      <c r="O171" s="62">
        <v>41184.18</v>
      </c>
      <c r="P171" s="56"/>
      <c r="Q171" s="52">
        <f t="shared" si="5"/>
        <v>0</v>
      </c>
    </row>
    <row r="172" spans="4:19" ht="18.75">
      <c r="D172" s="11"/>
      <c r="E172" s="12"/>
      <c r="F172" s="15"/>
      <c r="G172" s="39"/>
      <c r="H172" s="21"/>
      <c r="I172" s="47"/>
      <c r="J172" s="22"/>
      <c r="K172" s="11"/>
      <c r="L172" s="12"/>
      <c r="M172" s="142" t="s">
        <v>126</v>
      </c>
      <c r="N172" s="137">
        <v>57846.86</v>
      </c>
      <c r="O172" s="153">
        <v>57812.39</v>
      </c>
      <c r="P172" s="147"/>
      <c r="Q172" s="144">
        <f t="shared" si="5"/>
        <v>34.470000000001164</v>
      </c>
    </row>
    <row r="173" spans="4:19" ht="18.75">
      <c r="D173" s="11"/>
      <c r="E173" s="12"/>
      <c r="F173" s="15"/>
      <c r="G173" s="39"/>
      <c r="H173" s="21"/>
      <c r="I173" s="47"/>
      <c r="J173" s="22"/>
      <c r="K173" s="11"/>
      <c r="L173" s="12"/>
      <c r="M173" s="54" t="s">
        <v>100</v>
      </c>
      <c r="N173" s="51">
        <v>7196.73</v>
      </c>
      <c r="O173" s="62">
        <v>7196.73</v>
      </c>
      <c r="P173" s="47">
        <f>SUM(N165:N173)</f>
        <v>193718.44000000003</v>
      </c>
      <c r="Q173" s="52">
        <f t="shared" si="5"/>
        <v>0</v>
      </c>
    </row>
    <row r="174" spans="4:19" ht="18.75">
      <c r="D174" s="11"/>
      <c r="E174" s="12"/>
      <c r="F174" s="15"/>
      <c r="G174" s="39"/>
      <c r="H174" s="21"/>
      <c r="I174" s="47"/>
      <c r="J174" s="22"/>
      <c r="K174" s="11"/>
      <c r="L174" s="12"/>
      <c r="M174" s="142" t="s">
        <v>107</v>
      </c>
      <c r="N174" s="137"/>
      <c r="O174" s="153">
        <v>15970.66</v>
      </c>
      <c r="P174" s="147"/>
      <c r="Q174" s="144">
        <f t="shared" si="5"/>
        <v>-15970.66</v>
      </c>
    </row>
    <row r="175" spans="4:19" ht="18.75">
      <c r="D175" s="11">
        <v>15</v>
      </c>
      <c r="E175" s="12" t="s">
        <v>31</v>
      </c>
      <c r="F175" s="51" t="s">
        <v>88</v>
      </c>
      <c r="G175" s="51">
        <v>46383.29</v>
      </c>
      <c r="H175" s="51">
        <v>46377.58</v>
      </c>
      <c r="I175" s="56">
        <f>H175-G175</f>
        <v>-5.7099999999991269</v>
      </c>
      <c r="J175" s="139">
        <f>G175-H175</f>
        <v>5.7099999999991269</v>
      </c>
      <c r="K175" s="11">
        <v>15</v>
      </c>
      <c r="L175" s="12" t="s">
        <v>31</v>
      </c>
      <c r="M175" s="15"/>
      <c r="N175" s="21"/>
      <c r="O175" s="49">
        <v>7260.19</v>
      </c>
      <c r="P175" s="47"/>
      <c r="Q175" s="34">
        <f t="shared" si="5"/>
        <v>-7260.19</v>
      </c>
    </row>
    <row r="176" spans="4:19" ht="18.75">
      <c r="D176" s="11"/>
      <c r="E176" s="12"/>
      <c r="F176" s="51" t="s">
        <v>123</v>
      </c>
      <c r="G176" s="51">
        <v>50898.76</v>
      </c>
      <c r="H176" s="161">
        <v>51194.42</v>
      </c>
      <c r="I176" s="56">
        <f t="shared" ref="I176:I182" si="6">H176-G176</f>
        <v>295.65999999999622</v>
      </c>
      <c r="J176" s="139">
        <f t="shared" ref="J176:J182" si="7">G176-H176</f>
        <v>-295.65999999999622</v>
      </c>
      <c r="K176" s="11"/>
      <c r="L176" s="12"/>
      <c r="M176" s="15"/>
      <c r="N176" s="21"/>
      <c r="P176" s="58"/>
      <c r="Q176" s="34"/>
    </row>
    <row r="177" spans="2:18" ht="18.75">
      <c r="D177" s="11"/>
      <c r="E177" s="12"/>
      <c r="F177" s="51" t="s">
        <v>125</v>
      </c>
      <c r="G177" s="51">
        <v>34481.99</v>
      </c>
      <c r="H177" s="161">
        <v>35973.4</v>
      </c>
      <c r="I177" s="56">
        <f t="shared" si="6"/>
        <v>1491.4100000000035</v>
      </c>
      <c r="J177" s="139">
        <f t="shared" si="7"/>
        <v>-1491.4100000000035</v>
      </c>
      <c r="K177" s="11"/>
      <c r="L177" s="12"/>
      <c r="M177" s="15"/>
      <c r="N177" s="21"/>
      <c r="O177" s="49"/>
      <c r="P177" s="58"/>
      <c r="Q177" s="34"/>
    </row>
    <row r="178" spans="2:18" ht="18.75">
      <c r="B178" s="87"/>
      <c r="D178" s="11"/>
      <c r="E178" s="12"/>
      <c r="F178" s="51" t="s">
        <v>64</v>
      </c>
      <c r="G178" s="51">
        <v>57812.39</v>
      </c>
      <c r="H178" s="161">
        <v>57846.86</v>
      </c>
      <c r="I178" s="56">
        <f t="shared" si="6"/>
        <v>34.470000000001164</v>
      </c>
      <c r="J178" s="139">
        <f t="shared" si="7"/>
        <v>-34.470000000001164</v>
      </c>
      <c r="K178" s="11"/>
      <c r="L178" s="12"/>
      <c r="M178" s="15"/>
      <c r="N178" s="21"/>
      <c r="O178" s="49"/>
      <c r="P178" s="58"/>
      <c r="Q178" s="34"/>
    </row>
    <row r="179" spans="2:18" ht="18.75">
      <c r="D179" s="11"/>
      <c r="E179" s="12"/>
      <c r="F179" s="51" t="s">
        <v>26</v>
      </c>
      <c r="G179" s="51">
        <v>91856.38</v>
      </c>
      <c r="H179" s="161">
        <v>0</v>
      </c>
      <c r="I179" s="56">
        <f t="shared" si="6"/>
        <v>-91856.38</v>
      </c>
      <c r="J179" s="139">
        <f t="shared" si="7"/>
        <v>91856.38</v>
      </c>
      <c r="K179" s="11"/>
      <c r="L179" s="12"/>
      <c r="M179" s="15"/>
      <c r="N179" s="21"/>
      <c r="O179" s="49"/>
      <c r="P179" s="58"/>
      <c r="Q179" s="34"/>
    </row>
    <row r="180" spans="2:18" ht="18.75">
      <c r="D180" s="11"/>
      <c r="E180" s="12"/>
      <c r="F180" s="51" t="s">
        <v>25</v>
      </c>
      <c r="G180" s="51">
        <v>41996.39</v>
      </c>
      <c r="H180" s="51">
        <v>41996.49</v>
      </c>
      <c r="I180" s="56">
        <f t="shared" si="6"/>
        <v>9.9999999998544808E-2</v>
      </c>
      <c r="J180" s="139">
        <f t="shared" si="7"/>
        <v>-9.9999999998544808E-2</v>
      </c>
      <c r="K180" s="11"/>
      <c r="L180" s="12"/>
      <c r="M180" s="15"/>
      <c r="N180" s="21"/>
      <c r="O180" s="49"/>
      <c r="P180" s="58"/>
      <c r="Q180" s="34"/>
    </row>
    <row r="181" spans="2:18" ht="18.75">
      <c r="D181" s="11"/>
      <c r="E181" s="12"/>
      <c r="F181" s="51" t="s">
        <v>28</v>
      </c>
      <c r="G181" s="51">
        <v>106957.55</v>
      </c>
      <c r="H181" s="161">
        <v>77020.08</v>
      </c>
      <c r="I181" s="56">
        <f t="shared" si="6"/>
        <v>-29937.47</v>
      </c>
      <c r="J181" s="139">
        <f t="shared" si="7"/>
        <v>29937.47</v>
      </c>
      <c r="K181" s="11"/>
      <c r="L181" s="12"/>
      <c r="M181" s="15"/>
      <c r="N181" s="21"/>
      <c r="O181" s="49"/>
      <c r="P181" s="58"/>
      <c r="Q181" s="34"/>
    </row>
    <row r="182" spans="2:18" ht="18.75">
      <c r="D182" s="11"/>
      <c r="E182" s="12"/>
      <c r="F182" s="137" t="s">
        <v>74</v>
      </c>
      <c r="G182" s="161">
        <v>0</v>
      </c>
      <c r="H182" s="161">
        <v>35711.69</v>
      </c>
      <c r="I182" s="56">
        <f t="shared" si="6"/>
        <v>35711.69</v>
      </c>
      <c r="J182" s="139">
        <f t="shared" si="7"/>
        <v>-35711.69</v>
      </c>
      <c r="K182" s="11"/>
      <c r="L182" s="12"/>
      <c r="M182" s="15"/>
      <c r="N182" s="21"/>
      <c r="O182" s="49"/>
      <c r="P182" s="58"/>
      <c r="Q182" s="34"/>
    </row>
    <row r="183" spans="2:18" ht="18.75">
      <c r="D183" s="11">
        <v>16</v>
      </c>
      <c r="E183" s="12" t="s">
        <v>23</v>
      </c>
      <c r="F183" s="54" t="s">
        <v>15</v>
      </c>
      <c r="G183" s="51">
        <v>0</v>
      </c>
      <c r="H183" s="51">
        <v>0</v>
      </c>
      <c r="I183" s="171"/>
      <c r="J183" s="139">
        <f>G183-H183</f>
        <v>0</v>
      </c>
      <c r="K183" s="11">
        <v>16</v>
      </c>
      <c r="L183" s="12" t="s">
        <v>23</v>
      </c>
      <c r="M183" s="54" t="s">
        <v>31</v>
      </c>
      <c r="N183" s="51">
        <v>46377.58</v>
      </c>
      <c r="O183" s="137">
        <v>46383.29</v>
      </c>
      <c r="P183" s="182">
        <f>O183-N183</f>
        <v>5.7099999999991269</v>
      </c>
      <c r="Q183" s="139">
        <f t="shared" ref="Q183:Q189" si="8">N183-O183</f>
        <v>-5.7099999999991269</v>
      </c>
    </row>
    <row r="184" spans="2:18" ht="18.75">
      <c r="D184" s="11"/>
      <c r="E184" s="12"/>
      <c r="F184" s="54" t="s">
        <v>64</v>
      </c>
      <c r="G184" s="51">
        <v>1610.3</v>
      </c>
      <c r="H184" s="51">
        <v>1610.3</v>
      </c>
      <c r="I184" s="166"/>
      <c r="J184" s="139">
        <f>G184-H184</f>
        <v>0</v>
      </c>
      <c r="K184" s="11"/>
      <c r="L184" s="12"/>
      <c r="M184" s="54" t="s">
        <v>89</v>
      </c>
      <c r="N184" s="51">
        <v>25950.18</v>
      </c>
      <c r="O184" s="51">
        <v>25950.18</v>
      </c>
      <c r="P184" s="47">
        <f>N183+N184</f>
        <v>72327.760000000009</v>
      </c>
      <c r="Q184" s="57">
        <f t="shared" si="8"/>
        <v>0</v>
      </c>
    </row>
    <row r="185" spans="2:18" ht="18.75">
      <c r="D185" s="11">
        <v>17</v>
      </c>
      <c r="E185" s="12" t="s">
        <v>32</v>
      </c>
      <c r="F185" s="54" t="s">
        <v>77</v>
      </c>
      <c r="G185" s="51">
        <v>3240.16</v>
      </c>
      <c r="H185" s="51">
        <v>3240.16</v>
      </c>
      <c r="I185" s="171"/>
      <c r="J185" s="57">
        <f>G185-H185</f>
        <v>0</v>
      </c>
      <c r="K185" s="11">
        <v>17</v>
      </c>
      <c r="L185" s="12" t="s">
        <v>32</v>
      </c>
      <c r="M185" s="142" t="s">
        <v>102</v>
      </c>
      <c r="N185" s="137">
        <v>43737.88</v>
      </c>
      <c r="O185" s="51">
        <v>45297.85</v>
      </c>
      <c r="P185" s="56"/>
      <c r="Q185" s="57">
        <f t="shared" si="8"/>
        <v>-1559.9700000000012</v>
      </c>
      <c r="R185" s="164">
        <f>Q185*100/N185</f>
        <v>-3.5666337737448668</v>
      </c>
    </row>
    <row r="186" spans="2:18" ht="18.75">
      <c r="D186" s="11"/>
      <c r="E186" s="12"/>
      <c r="F186" s="54" t="s">
        <v>76</v>
      </c>
      <c r="G186" s="51">
        <v>2029.67</v>
      </c>
      <c r="H186" s="51">
        <v>2029.67</v>
      </c>
      <c r="I186" s="171"/>
      <c r="J186" s="57">
        <f>G186-H186</f>
        <v>0</v>
      </c>
      <c r="K186" s="11"/>
      <c r="L186" s="12"/>
      <c r="M186" s="54" t="s">
        <v>103</v>
      </c>
      <c r="N186" s="51">
        <v>35779.629999999997</v>
      </c>
      <c r="O186" s="51">
        <v>35779.629999999997</v>
      </c>
      <c r="P186" s="56"/>
      <c r="Q186" s="57">
        <f t="shared" si="8"/>
        <v>0</v>
      </c>
    </row>
    <row r="187" spans="2:18" ht="18.75">
      <c r="D187" s="11"/>
      <c r="E187" s="12"/>
      <c r="F187" s="15"/>
      <c r="G187" s="21"/>
      <c r="H187" s="21"/>
      <c r="I187" s="171"/>
      <c r="J187" s="22"/>
      <c r="K187" s="11"/>
      <c r="L187" s="12"/>
      <c r="M187" s="142" t="s">
        <v>126</v>
      </c>
      <c r="N187" s="137">
        <v>35973.4</v>
      </c>
      <c r="O187" s="137">
        <v>34481.99</v>
      </c>
      <c r="P187" s="147">
        <f>N185+N186+N187</f>
        <v>115490.91</v>
      </c>
      <c r="Q187" s="139">
        <f t="shared" si="8"/>
        <v>1491.4100000000035</v>
      </c>
    </row>
    <row r="188" spans="2:18" ht="18.75">
      <c r="D188" s="11"/>
      <c r="E188" s="12"/>
      <c r="F188" s="15"/>
      <c r="G188" s="21"/>
      <c r="H188" s="21"/>
      <c r="I188" s="171"/>
      <c r="J188" s="22"/>
      <c r="K188" s="11"/>
      <c r="L188" s="12"/>
      <c r="M188" s="142"/>
      <c r="N188" s="137"/>
      <c r="O188" s="137"/>
      <c r="P188" s="147"/>
      <c r="Q188" s="139"/>
    </row>
    <row r="189" spans="2:18" ht="18.75">
      <c r="D189" s="11">
        <v>18</v>
      </c>
      <c r="E189" s="12" t="s">
        <v>33</v>
      </c>
      <c r="F189" s="54" t="s">
        <v>24</v>
      </c>
      <c r="G189" s="51">
        <v>50782.48</v>
      </c>
      <c r="H189" s="51">
        <v>50782.48</v>
      </c>
      <c r="I189" s="171"/>
      <c r="J189" s="57">
        <f t="shared" ref="J189:J227" si="9">G189-H189</f>
        <v>0</v>
      </c>
      <c r="K189" s="11">
        <v>18</v>
      </c>
      <c r="L189" s="12" t="s">
        <v>33</v>
      </c>
      <c r="M189" s="54" t="s">
        <v>89</v>
      </c>
      <c r="N189" s="51">
        <v>41390.06</v>
      </c>
      <c r="O189" s="51">
        <v>41390.06</v>
      </c>
      <c r="P189" s="56"/>
      <c r="Q189" s="57">
        <f t="shared" si="8"/>
        <v>0</v>
      </c>
      <c r="R189" s="42"/>
    </row>
    <row r="190" spans="2:18" ht="18.75">
      <c r="D190" s="11"/>
      <c r="E190" s="12">
        <f>I190*100/H190</f>
        <v>0</v>
      </c>
      <c r="F190" s="142" t="s">
        <v>64</v>
      </c>
      <c r="G190" s="137">
        <v>37666.379999999997</v>
      </c>
      <c r="H190" s="137">
        <v>38057.799999999996</v>
      </c>
      <c r="I190" s="171"/>
      <c r="J190" s="139">
        <f t="shared" si="9"/>
        <v>-391.41999999999825</v>
      </c>
      <c r="K190" s="11"/>
      <c r="L190" s="12"/>
      <c r="M190" s="15"/>
      <c r="N190" s="21"/>
      <c r="O190" s="21"/>
      <c r="P190" s="47">
        <f>N189</f>
        <v>41390.06</v>
      </c>
      <c r="Q190" s="40"/>
      <c r="R190" s="60"/>
    </row>
    <row r="191" spans="2:18" ht="18.75">
      <c r="D191" s="11"/>
      <c r="E191" s="12"/>
      <c r="F191" s="54" t="s">
        <v>28</v>
      </c>
      <c r="G191" s="51">
        <v>25692.84</v>
      </c>
      <c r="H191" s="51">
        <v>25692.84</v>
      </c>
      <c r="I191" s="171"/>
      <c r="J191" s="57">
        <f t="shared" si="9"/>
        <v>0</v>
      </c>
      <c r="K191" s="11"/>
      <c r="L191" s="12"/>
      <c r="M191" s="15"/>
      <c r="N191" s="21">
        <v>43737.88</v>
      </c>
      <c r="O191" s="21"/>
      <c r="P191" s="47"/>
      <c r="Q191" s="40"/>
      <c r="R191" s="60"/>
    </row>
    <row r="192" spans="2:18" ht="18.75">
      <c r="D192" s="11"/>
      <c r="E192" s="12"/>
      <c r="F192" s="54" t="s">
        <v>12</v>
      </c>
      <c r="G192" s="51">
        <v>25038.36</v>
      </c>
      <c r="H192" s="51">
        <f>12209.95+12828.41</f>
        <v>25038.36</v>
      </c>
      <c r="I192" s="171"/>
      <c r="J192" s="57">
        <f t="shared" si="9"/>
        <v>0</v>
      </c>
      <c r="K192" s="11"/>
      <c r="L192" s="12"/>
      <c r="M192" s="15"/>
      <c r="N192" s="21">
        <v>1361.14</v>
      </c>
      <c r="O192" s="21"/>
      <c r="P192" s="47"/>
      <c r="Q192" s="40"/>
      <c r="R192" s="60"/>
    </row>
    <row r="193" spans="2:18" ht="18.75">
      <c r="D193" s="11"/>
      <c r="E193" s="12"/>
      <c r="F193" s="54" t="s">
        <v>74</v>
      </c>
      <c r="G193" s="51">
        <v>26361.33</v>
      </c>
      <c r="H193" s="51">
        <v>26361.33</v>
      </c>
      <c r="I193" s="171"/>
      <c r="J193" s="57">
        <f t="shared" si="9"/>
        <v>0</v>
      </c>
      <c r="K193" s="11"/>
      <c r="L193" s="12"/>
      <c r="M193" s="15"/>
      <c r="N193" s="21">
        <f>SUM(N191:N192)</f>
        <v>45099.02</v>
      </c>
      <c r="O193" s="21"/>
      <c r="P193" s="47"/>
      <c r="Q193" s="40"/>
      <c r="R193" s="60"/>
    </row>
    <row r="194" spans="2:18" ht="18.75">
      <c r="D194" s="11"/>
      <c r="E194" s="12"/>
      <c r="F194" s="142" t="s">
        <v>26</v>
      </c>
      <c r="G194" s="65">
        <v>78598.320000000007</v>
      </c>
      <c r="H194" s="137"/>
      <c r="I194" s="171"/>
      <c r="J194" s="139">
        <f t="shared" si="9"/>
        <v>78598.320000000007</v>
      </c>
      <c r="K194" s="11"/>
      <c r="L194" s="12"/>
      <c r="M194" s="15"/>
      <c r="N194" s="21"/>
      <c r="O194" s="21"/>
      <c r="P194" s="47"/>
      <c r="Q194" s="40"/>
      <c r="R194" s="60"/>
    </row>
    <row r="195" spans="2:18" ht="18.75">
      <c r="D195" s="11"/>
      <c r="E195" s="12"/>
      <c r="F195" s="54" t="s">
        <v>25</v>
      </c>
      <c r="G195" s="51">
        <v>26305.54</v>
      </c>
      <c r="H195" s="51">
        <v>26305.54</v>
      </c>
      <c r="I195" s="171"/>
      <c r="J195" s="57">
        <f t="shared" si="9"/>
        <v>0</v>
      </c>
      <c r="K195" s="11"/>
      <c r="L195" s="12"/>
      <c r="M195" s="15"/>
      <c r="N195" s="21"/>
      <c r="O195" s="21"/>
      <c r="P195" s="47"/>
      <c r="Q195" s="40"/>
      <c r="R195" s="60"/>
    </row>
    <row r="196" spans="2:18" ht="18.75">
      <c r="D196" s="11"/>
      <c r="E196" s="12">
        <f>I196*100/H196</f>
        <v>0</v>
      </c>
      <c r="F196" s="142" t="s">
        <v>32</v>
      </c>
      <c r="G196" s="137">
        <v>45297.85</v>
      </c>
      <c r="H196" s="137">
        <v>43737.88</v>
      </c>
      <c r="I196" s="171"/>
      <c r="J196" s="139">
        <f t="shared" si="9"/>
        <v>1559.9700000000012</v>
      </c>
      <c r="K196" s="11"/>
      <c r="L196" s="12"/>
      <c r="M196" s="15"/>
      <c r="N196" s="21"/>
      <c r="O196" s="21"/>
      <c r="P196" s="47"/>
      <c r="Q196" s="40"/>
      <c r="R196" s="60"/>
    </row>
    <row r="197" spans="2:18" ht="18.75">
      <c r="D197" s="11"/>
      <c r="E197" s="12"/>
      <c r="F197" s="15"/>
      <c r="G197" s="21"/>
      <c r="H197" s="21"/>
      <c r="I197" s="171"/>
      <c r="J197" s="40"/>
      <c r="K197" s="11"/>
      <c r="L197" s="12"/>
      <c r="M197" s="15"/>
      <c r="N197" s="21"/>
      <c r="O197" s="21"/>
      <c r="P197" s="47"/>
      <c r="Q197" s="40"/>
      <c r="R197" s="60"/>
    </row>
    <row r="198" spans="2:18" ht="18.75">
      <c r="D198" s="11"/>
      <c r="E198" s="12"/>
      <c r="F198" s="15"/>
      <c r="G198" s="21"/>
      <c r="H198" s="21"/>
      <c r="I198" s="171"/>
      <c r="J198" s="40"/>
      <c r="K198" s="11"/>
      <c r="L198" s="12"/>
      <c r="M198" s="15"/>
      <c r="N198" s="21"/>
      <c r="O198" s="21"/>
      <c r="P198" s="47"/>
      <c r="Q198" s="40"/>
      <c r="R198" s="60"/>
    </row>
    <row r="199" spans="2:18" ht="18.75">
      <c r="D199" s="11"/>
      <c r="E199" s="12"/>
      <c r="F199" s="15"/>
      <c r="G199" s="21"/>
      <c r="H199" s="21"/>
      <c r="I199" s="171"/>
      <c r="J199" s="40"/>
      <c r="K199" s="11"/>
      <c r="L199" s="12"/>
      <c r="M199" s="15"/>
      <c r="N199" s="21"/>
      <c r="O199" s="21"/>
      <c r="P199" s="47"/>
      <c r="Q199" s="40"/>
      <c r="R199" s="60"/>
    </row>
    <row r="200" spans="2:18" ht="18.75">
      <c r="B200" s="1"/>
      <c r="D200" s="11">
        <v>19</v>
      </c>
      <c r="E200" s="12" t="s">
        <v>109</v>
      </c>
      <c r="F200" s="51" t="s">
        <v>88</v>
      </c>
      <c r="G200" s="51">
        <v>25950.18</v>
      </c>
      <c r="H200" s="51">
        <v>25950.18</v>
      </c>
      <c r="I200" s="171"/>
      <c r="J200" s="57">
        <f t="shared" si="9"/>
        <v>0</v>
      </c>
      <c r="K200" s="11">
        <v>19</v>
      </c>
      <c r="L200" s="12" t="s">
        <v>109</v>
      </c>
      <c r="M200" s="15"/>
      <c r="N200" s="21"/>
      <c r="O200" s="21"/>
      <c r="P200" s="47"/>
      <c r="Q200" s="40"/>
    </row>
    <row r="201" spans="2:18" ht="18.75">
      <c r="B201" s="1"/>
      <c r="D201" s="11"/>
      <c r="E201" s="12"/>
      <c r="F201" s="137" t="s">
        <v>92</v>
      </c>
      <c r="G201" s="137">
        <v>6162.04</v>
      </c>
      <c r="H201" s="137">
        <v>5566.6</v>
      </c>
      <c r="I201" s="172"/>
      <c r="J201" s="139">
        <f t="shared" si="9"/>
        <v>595.4399999999996</v>
      </c>
      <c r="K201" s="11"/>
      <c r="L201" s="12"/>
      <c r="M201" s="15"/>
      <c r="N201" s="21"/>
      <c r="O201" s="21"/>
      <c r="P201" s="47"/>
      <c r="Q201" s="40"/>
    </row>
    <row r="202" spans="2:18" ht="18.75">
      <c r="B202" s="1"/>
      <c r="D202" s="11"/>
      <c r="E202" s="12"/>
      <c r="F202" s="51" t="s">
        <v>110</v>
      </c>
      <c r="G202" s="51">
        <v>41390.06</v>
      </c>
      <c r="H202" s="51">
        <v>41390.06</v>
      </c>
      <c r="I202" s="172"/>
      <c r="J202" s="57">
        <f t="shared" si="9"/>
        <v>0</v>
      </c>
      <c r="K202" s="11"/>
      <c r="L202" s="12"/>
      <c r="M202" s="15"/>
      <c r="N202" s="21"/>
      <c r="O202" s="21"/>
      <c r="P202" s="47"/>
      <c r="Q202" s="40"/>
    </row>
    <row r="203" spans="2:18" ht="18.75">
      <c r="B203" s="1"/>
      <c r="D203" s="11"/>
      <c r="E203" s="12"/>
      <c r="F203" s="51" t="s">
        <v>125</v>
      </c>
      <c r="G203" s="51">
        <v>35779.629999999997</v>
      </c>
      <c r="H203" s="51">
        <v>35779.629999999997</v>
      </c>
      <c r="I203" s="172"/>
      <c r="J203" s="57">
        <f t="shared" si="9"/>
        <v>0</v>
      </c>
      <c r="K203" s="11"/>
      <c r="L203" s="12"/>
      <c r="M203" s="15"/>
      <c r="N203" s="21"/>
      <c r="O203" s="21"/>
      <c r="P203" s="47"/>
      <c r="Q203" s="40"/>
    </row>
    <row r="204" spans="2:18" ht="18.75">
      <c r="B204" s="1"/>
      <c r="D204" s="11"/>
      <c r="E204" s="12"/>
      <c r="F204" s="51" t="s">
        <v>64</v>
      </c>
      <c r="G204" s="51">
        <v>41184.18</v>
      </c>
      <c r="H204" s="51">
        <v>41184.18</v>
      </c>
      <c r="I204" s="172"/>
      <c r="J204" s="57">
        <f t="shared" si="9"/>
        <v>0</v>
      </c>
      <c r="K204" s="11"/>
      <c r="L204" s="12"/>
      <c r="M204" s="15"/>
      <c r="N204" s="21"/>
      <c r="O204" s="21"/>
      <c r="P204" s="47"/>
      <c r="Q204" s="40"/>
    </row>
    <row r="205" spans="2:18" ht="18.75">
      <c r="B205" s="1"/>
      <c r="D205" s="11"/>
      <c r="E205" s="12"/>
      <c r="F205" s="51" t="s">
        <v>77</v>
      </c>
      <c r="G205" s="51">
        <v>2481.4499999999998</v>
      </c>
      <c r="H205" s="94">
        <v>2481.4499999999998</v>
      </c>
      <c r="I205" s="172"/>
      <c r="J205" s="57">
        <f t="shared" si="9"/>
        <v>0</v>
      </c>
      <c r="K205" s="11"/>
      <c r="L205" s="12"/>
      <c r="M205" s="15"/>
      <c r="N205" s="21"/>
      <c r="O205" s="21"/>
      <c r="P205" s="47"/>
      <c r="Q205" s="40"/>
    </row>
    <row r="206" spans="2:18" ht="18.75">
      <c r="B206" s="1"/>
      <c r="D206" s="11"/>
      <c r="E206" s="12"/>
      <c r="F206" s="137" t="s">
        <v>76</v>
      </c>
      <c r="G206" s="137">
        <v>52479.02</v>
      </c>
      <c r="H206" s="143">
        <v>0</v>
      </c>
      <c r="I206" s="172"/>
      <c r="J206" s="139">
        <f t="shared" si="9"/>
        <v>52479.02</v>
      </c>
      <c r="K206" s="11"/>
      <c r="L206" s="12"/>
      <c r="M206" s="15"/>
      <c r="N206" s="21"/>
      <c r="O206" s="21"/>
      <c r="P206" s="47"/>
      <c r="Q206" s="40"/>
    </row>
    <row r="207" spans="2:18" ht="18.75">
      <c r="B207" s="1"/>
      <c r="D207" s="11"/>
      <c r="E207" s="12"/>
      <c r="F207" s="137" t="s">
        <v>126</v>
      </c>
      <c r="G207" s="137">
        <v>7260.19</v>
      </c>
      <c r="H207" s="143">
        <v>0</v>
      </c>
      <c r="I207" s="172"/>
      <c r="J207" s="139">
        <f t="shared" si="9"/>
        <v>7260.19</v>
      </c>
      <c r="K207" s="11"/>
      <c r="L207" s="12"/>
      <c r="M207" s="15"/>
      <c r="N207" s="21"/>
      <c r="O207" s="21"/>
      <c r="P207" s="47"/>
      <c r="Q207" s="40"/>
    </row>
    <row r="208" spans="2:18" ht="18.75">
      <c r="B208" s="1"/>
      <c r="D208" s="11"/>
      <c r="E208" s="12"/>
      <c r="F208" s="51" t="s">
        <v>28</v>
      </c>
      <c r="G208" s="51">
        <v>50071.24</v>
      </c>
      <c r="H208" s="94">
        <v>50071.24</v>
      </c>
      <c r="I208" s="172"/>
      <c r="J208" s="57">
        <f t="shared" si="9"/>
        <v>0</v>
      </c>
      <c r="K208" s="11"/>
      <c r="L208" s="12"/>
      <c r="M208" s="15"/>
      <c r="N208" s="21"/>
      <c r="O208" s="21"/>
      <c r="P208" s="47"/>
      <c r="Q208" s="40"/>
    </row>
    <row r="209" spans="2:19" ht="18.75">
      <c r="B209" s="1"/>
      <c r="D209" s="11">
        <v>20</v>
      </c>
      <c r="E209" s="12" t="s">
        <v>34</v>
      </c>
      <c r="F209" s="142" t="s">
        <v>69</v>
      </c>
      <c r="G209" s="137">
        <v>25927.96</v>
      </c>
      <c r="H209" s="143">
        <v>0</v>
      </c>
      <c r="I209" s="173"/>
      <c r="J209" s="139">
        <f t="shared" si="9"/>
        <v>25927.96</v>
      </c>
      <c r="K209" s="11">
        <v>20</v>
      </c>
      <c r="L209" s="12" t="s">
        <v>34</v>
      </c>
      <c r="M209" s="54" t="s">
        <v>35</v>
      </c>
      <c r="N209" s="52">
        <v>31736.182000000001</v>
      </c>
      <c r="O209" s="52">
        <v>31736.182000000001</v>
      </c>
      <c r="P209" s="56"/>
      <c r="Q209" s="52">
        <f>N209-O209</f>
        <v>0</v>
      </c>
    </row>
    <row r="210" spans="2:19" ht="18.75">
      <c r="B210" s="1"/>
      <c r="D210" s="11"/>
      <c r="E210" s="12"/>
      <c r="F210" s="54" t="s">
        <v>25</v>
      </c>
      <c r="G210" s="51">
        <v>24534.400000000001</v>
      </c>
      <c r="H210" s="51">
        <v>24534.400000000001</v>
      </c>
      <c r="I210" s="171"/>
      <c r="J210" s="57">
        <f t="shared" si="9"/>
        <v>0</v>
      </c>
      <c r="K210" s="11"/>
      <c r="L210" s="12"/>
      <c r="M210" s="54" t="s">
        <v>71</v>
      </c>
      <c r="N210" s="51">
        <v>7719.24</v>
      </c>
      <c r="O210" s="51">
        <v>7719.2400000000007</v>
      </c>
      <c r="P210" s="56"/>
      <c r="Q210" s="52">
        <f t="shared" ref="Q210:Q215" si="10">N210-O210</f>
        <v>0</v>
      </c>
    </row>
    <row r="211" spans="2:19" ht="18.75">
      <c r="B211" s="1"/>
      <c r="D211" s="11"/>
      <c r="E211" s="12"/>
      <c r="F211" s="54" t="s">
        <v>36</v>
      </c>
      <c r="G211" s="51">
        <v>1418.396</v>
      </c>
      <c r="H211" s="51">
        <v>1418.396</v>
      </c>
      <c r="I211" s="171"/>
      <c r="J211" s="57">
        <f t="shared" si="9"/>
        <v>0</v>
      </c>
      <c r="K211" s="11"/>
      <c r="L211" s="12"/>
      <c r="M211" s="64" t="s">
        <v>36</v>
      </c>
      <c r="N211" s="65">
        <v>24024.938999999998</v>
      </c>
      <c r="O211" s="65">
        <v>24024.940000000002</v>
      </c>
      <c r="P211" s="67"/>
      <c r="Q211" s="85">
        <f t="shared" si="10"/>
        <v>-1.0000000038417056E-3</v>
      </c>
    </row>
    <row r="212" spans="2:19" ht="18.75">
      <c r="B212" s="1"/>
      <c r="D212" s="11"/>
      <c r="E212" s="12"/>
      <c r="F212" s="54" t="s">
        <v>37</v>
      </c>
      <c r="G212" s="51">
        <v>2957.0369999999998</v>
      </c>
      <c r="H212" s="51">
        <v>2957.0369999999998</v>
      </c>
      <c r="I212" s="171"/>
      <c r="J212" s="57">
        <f t="shared" si="9"/>
        <v>0</v>
      </c>
      <c r="K212" s="11"/>
      <c r="L212" s="12"/>
      <c r="M212" s="54" t="s">
        <v>37</v>
      </c>
      <c r="N212" s="51">
        <v>2100</v>
      </c>
      <c r="O212" s="93">
        <v>2100</v>
      </c>
      <c r="P212" s="75">
        <f>SUM(N209:N212)</f>
        <v>65580.361000000004</v>
      </c>
      <c r="Q212" s="52">
        <f t="shared" si="10"/>
        <v>0</v>
      </c>
    </row>
    <row r="213" spans="2:19" ht="18.75">
      <c r="B213" s="1"/>
      <c r="D213" s="11"/>
      <c r="E213" s="12"/>
      <c r="F213" s="15"/>
      <c r="G213" s="21"/>
      <c r="H213" s="21"/>
      <c r="I213" s="171"/>
      <c r="J213" s="40"/>
      <c r="K213" s="11"/>
      <c r="L213" s="12"/>
      <c r="M213" s="15"/>
      <c r="N213" s="21"/>
      <c r="O213" s="21"/>
      <c r="P213" s="47"/>
      <c r="Q213" s="34"/>
    </row>
    <row r="214" spans="2:19" ht="18.75">
      <c r="B214" s="1"/>
      <c r="D214" s="11">
        <v>21</v>
      </c>
      <c r="E214" s="12" t="s">
        <v>35</v>
      </c>
      <c r="F214" s="54" t="s">
        <v>70</v>
      </c>
      <c r="G214" s="51">
        <v>31736.182000000001</v>
      </c>
      <c r="H214" s="52">
        <v>31736.182000000001</v>
      </c>
      <c r="I214" s="171"/>
      <c r="J214" s="57">
        <f t="shared" ref="J214:J219" si="11">G214-H214</f>
        <v>0</v>
      </c>
      <c r="K214" s="11">
        <v>21</v>
      </c>
      <c r="L214" s="12" t="s">
        <v>35</v>
      </c>
      <c r="M214" s="54" t="s">
        <v>36</v>
      </c>
      <c r="N214" s="52">
        <v>60149.953999999998</v>
      </c>
      <c r="O214" s="52">
        <v>60149.954000000005</v>
      </c>
      <c r="P214" s="56"/>
      <c r="Q214" s="52">
        <f t="shared" si="10"/>
        <v>0</v>
      </c>
    </row>
    <row r="215" spans="2:19" ht="18.75">
      <c r="B215" s="1"/>
      <c r="D215" s="11"/>
      <c r="E215" s="12"/>
      <c r="F215" s="54" t="s">
        <v>92</v>
      </c>
      <c r="G215" s="51">
        <v>124347.56</v>
      </c>
      <c r="H215" s="51">
        <v>124347.56</v>
      </c>
      <c r="I215" s="171"/>
      <c r="J215" s="57">
        <f t="shared" si="11"/>
        <v>0</v>
      </c>
      <c r="K215" s="11"/>
      <c r="L215" s="12"/>
      <c r="M215" s="64" t="s">
        <v>38</v>
      </c>
      <c r="N215" s="69">
        <v>18138.683000000001</v>
      </c>
      <c r="O215" s="69">
        <v>12305.155999999999</v>
      </c>
      <c r="P215" s="47">
        <f>N214+N215</f>
        <v>78288.637000000002</v>
      </c>
      <c r="Q215" s="69">
        <f t="shared" si="10"/>
        <v>5833.5270000000019</v>
      </c>
    </row>
    <row r="216" spans="2:19" ht="18.75">
      <c r="B216" s="1"/>
      <c r="D216" s="11"/>
      <c r="E216" s="12"/>
      <c r="F216" s="54" t="s">
        <v>83</v>
      </c>
      <c r="G216" s="51">
        <v>32238.11</v>
      </c>
      <c r="H216" s="51">
        <v>32238.11</v>
      </c>
      <c r="I216" s="171"/>
      <c r="J216" s="57">
        <f t="shared" si="11"/>
        <v>0</v>
      </c>
      <c r="K216" s="11"/>
      <c r="L216" s="12"/>
      <c r="M216" s="15"/>
      <c r="N216" s="34"/>
      <c r="O216" s="34"/>
      <c r="P216" s="47"/>
      <c r="Q216" s="34"/>
    </row>
    <row r="217" spans="2:19" ht="18.75">
      <c r="B217" s="1"/>
      <c r="D217" s="11"/>
      <c r="E217" s="12"/>
      <c r="F217" s="54" t="s">
        <v>132</v>
      </c>
      <c r="G217" s="51">
        <v>10753.023999999999</v>
      </c>
      <c r="H217" s="51">
        <v>10753.023999999999</v>
      </c>
      <c r="I217" s="171"/>
      <c r="J217" s="57">
        <f t="shared" si="11"/>
        <v>0</v>
      </c>
      <c r="K217" s="11"/>
      <c r="L217" s="12"/>
      <c r="M217" s="15"/>
      <c r="N217" s="34"/>
      <c r="O217" s="34"/>
      <c r="P217" s="47"/>
      <c r="Q217" s="34"/>
    </row>
    <row r="218" spans="2:19" ht="18.75">
      <c r="B218" s="1"/>
      <c r="D218" s="11"/>
      <c r="E218" s="12"/>
      <c r="F218" s="142" t="s">
        <v>74</v>
      </c>
      <c r="G218" s="137">
        <v>35339.25</v>
      </c>
      <c r="H218" s="137">
        <v>0</v>
      </c>
      <c r="I218" s="174"/>
      <c r="J218" s="139">
        <f t="shared" si="11"/>
        <v>35339.25</v>
      </c>
      <c r="K218" s="11"/>
      <c r="L218" s="12"/>
      <c r="M218" s="15"/>
      <c r="N218" s="34"/>
      <c r="O218" s="34"/>
      <c r="P218" s="47"/>
      <c r="Q218" s="34"/>
    </row>
    <row r="219" spans="2:19" ht="18.75">
      <c r="B219" s="1"/>
      <c r="D219" s="11"/>
      <c r="E219" s="12"/>
      <c r="F219" s="142" t="s">
        <v>133</v>
      </c>
      <c r="G219" s="137">
        <v>96898.260000000024</v>
      </c>
      <c r="H219" s="137">
        <v>0</v>
      </c>
      <c r="I219" s="175"/>
      <c r="J219" s="139">
        <f t="shared" si="11"/>
        <v>96898.260000000024</v>
      </c>
      <c r="K219" s="11"/>
      <c r="L219" s="12"/>
      <c r="M219" s="15"/>
      <c r="N219" s="34"/>
      <c r="O219" s="34"/>
      <c r="P219" s="47"/>
      <c r="Q219" s="34"/>
      <c r="S219" s="80">
        <f>P228</f>
        <v>193116.60840000003</v>
      </c>
    </row>
    <row r="220" spans="2:19" ht="18.75">
      <c r="D220" s="11">
        <v>22</v>
      </c>
      <c r="E220" s="12" t="s">
        <v>36</v>
      </c>
      <c r="F220" s="142" t="s">
        <v>70</v>
      </c>
      <c r="G220" s="144">
        <v>24024.940000000002</v>
      </c>
      <c r="H220" s="144">
        <v>24024.938999999998</v>
      </c>
      <c r="I220" s="171"/>
      <c r="J220" s="145">
        <f t="shared" si="9"/>
        <v>1.0000000038417056E-3</v>
      </c>
      <c r="K220" s="11">
        <v>22</v>
      </c>
      <c r="L220" s="12" t="s">
        <v>36</v>
      </c>
      <c r="M220" s="54" t="s">
        <v>70</v>
      </c>
      <c r="N220" s="51">
        <v>1418.396</v>
      </c>
      <c r="O220" s="51">
        <v>1418.396</v>
      </c>
      <c r="P220" s="56"/>
      <c r="Q220" s="52">
        <f t="shared" ref="Q220:Q227" si="12">N220-O220</f>
        <v>0</v>
      </c>
    </row>
    <row r="221" spans="2:19" ht="18.75">
      <c r="D221" s="11"/>
      <c r="E221" s="12"/>
      <c r="F221" s="54" t="s">
        <v>101</v>
      </c>
      <c r="G221" s="51">
        <v>60149.954000000005</v>
      </c>
      <c r="H221" s="51">
        <v>60149.953999999998</v>
      </c>
      <c r="I221" s="171"/>
      <c r="J221" s="57">
        <f t="shared" si="9"/>
        <v>0</v>
      </c>
      <c r="K221" s="11"/>
      <c r="L221" s="12"/>
      <c r="M221" s="54" t="s">
        <v>35</v>
      </c>
      <c r="N221" s="51">
        <v>10753.023999999999</v>
      </c>
      <c r="O221" s="51">
        <v>10753.023999999999</v>
      </c>
      <c r="P221" s="56"/>
      <c r="Q221" s="52">
        <f t="shared" si="12"/>
        <v>0</v>
      </c>
    </row>
    <row r="222" spans="2:19" ht="18.75">
      <c r="D222" s="11"/>
      <c r="E222" s="12"/>
      <c r="F222" s="142" t="s">
        <v>76</v>
      </c>
      <c r="G222" s="137">
        <v>26104.03</v>
      </c>
      <c r="H222" s="137">
        <v>0</v>
      </c>
      <c r="I222" s="171"/>
      <c r="J222" s="139">
        <f t="shared" si="9"/>
        <v>26104.03</v>
      </c>
      <c r="K222" s="11"/>
      <c r="L222" s="12"/>
      <c r="M222" s="54" t="s">
        <v>134</v>
      </c>
      <c r="N222" s="51">
        <v>7786.732</v>
      </c>
      <c r="O222" s="51">
        <v>7786.732</v>
      </c>
      <c r="P222" s="47">
        <f>N220+N221+N222</f>
        <v>19958.152000000002</v>
      </c>
      <c r="Q222" s="52">
        <f t="shared" si="12"/>
        <v>0</v>
      </c>
    </row>
    <row r="223" spans="2:19" ht="18.75">
      <c r="D223" s="11">
        <v>23</v>
      </c>
      <c r="E223" s="12" t="s">
        <v>37</v>
      </c>
      <c r="F223" s="54" t="s">
        <v>70</v>
      </c>
      <c r="G223" s="51">
        <v>2100</v>
      </c>
      <c r="H223" s="51">
        <v>2100</v>
      </c>
      <c r="I223" s="171"/>
      <c r="J223" s="57">
        <f t="shared" si="9"/>
        <v>0</v>
      </c>
      <c r="K223" s="11">
        <v>23</v>
      </c>
      <c r="L223" s="12" t="s">
        <v>37</v>
      </c>
      <c r="M223" s="54" t="s">
        <v>63</v>
      </c>
      <c r="N223" s="51">
        <v>10041.324000000001</v>
      </c>
      <c r="O223" s="51">
        <v>10041.324000000001</v>
      </c>
      <c r="P223" s="56"/>
      <c r="Q223" s="52">
        <f t="shared" si="12"/>
        <v>0</v>
      </c>
    </row>
    <row r="224" spans="2:19" ht="18.75">
      <c r="D224" s="11"/>
      <c r="E224" s="12"/>
      <c r="F224" s="142" t="s">
        <v>108</v>
      </c>
      <c r="G224" s="137">
        <v>154152.38999999998</v>
      </c>
      <c r="H224" s="51">
        <v>154152.38999999998</v>
      </c>
      <c r="I224" s="171"/>
      <c r="J224" s="57">
        <f t="shared" si="9"/>
        <v>0</v>
      </c>
      <c r="K224" s="11"/>
      <c r="L224" s="12"/>
      <c r="M224" s="54" t="s">
        <v>70</v>
      </c>
      <c r="N224" s="51">
        <v>2957.0369999999998</v>
      </c>
      <c r="O224" s="51">
        <v>2957.0369999999998</v>
      </c>
      <c r="P224" s="56"/>
      <c r="Q224" s="52">
        <f t="shared" si="12"/>
        <v>0</v>
      </c>
    </row>
    <row r="225" spans="4:17" ht="18.75">
      <c r="D225" s="11"/>
      <c r="E225" s="12"/>
      <c r="F225" s="142" t="s">
        <v>26</v>
      </c>
      <c r="G225" s="137">
        <v>111637.91</v>
      </c>
      <c r="H225" s="137"/>
      <c r="I225" s="171"/>
      <c r="J225" s="139">
        <f t="shared" si="9"/>
        <v>111637.91</v>
      </c>
      <c r="K225" s="11"/>
      <c r="L225" s="12"/>
      <c r="M225" s="54" t="s">
        <v>96</v>
      </c>
      <c r="N225" s="51">
        <v>36500.472800000003</v>
      </c>
      <c r="O225" s="51">
        <v>36500.472800000003</v>
      </c>
      <c r="P225" s="56"/>
      <c r="Q225" s="52">
        <f t="shared" si="12"/>
        <v>0</v>
      </c>
    </row>
    <row r="226" spans="4:17" ht="18.75">
      <c r="D226" s="11"/>
      <c r="E226" s="12"/>
      <c r="F226" s="54" t="s">
        <v>107</v>
      </c>
      <c r="G226" s="51">
        <v>25677.360000000001</v>
      </c>
      <c r="H226" s="51">
        <v>25677.360000000001</v>
      </c>
      <c r="I226" s="171"/>
      <c r="J226" s="57">
        <f t="shared" si="9"/>
        <v>0</v>
      </c>
      <c r="K226" s="11"/>
      <c r="L226" s="12"/>
      <c r="M226" s="54" t="s">
        <v>38</v>
      </c>
      <c r="N226" s="51">
        <v>85291.411000000007</v>
      </c>
      <c r="O226" s="51">
        <v>85291.410999999993</v>
      </c>
      <c r="P226" s="56"/>
      <c r="Q226" s="52">
        <f t="shared" si="12"/>
        <v>0</v>
      </c>
    </row>
    <row r="227" spans="4:17" ht="18.75">
      <c r="D227" s="11"/>
      <c r="E227" s="12"/>
      <c r="F227" s="54" t="s">
        <v>25</v>
      </c>
      <c r="G227" s="51">
        <v>33835.33</v>
      </c>
      <c r="H227" s="51">
        <v>33835.33</v>
      </c>
      <c r="I227" s="171"/>
      <c r="J227" s="57">
        <f t="shared" si="9"/>
        <v>0</v>
      </c>
      <c r="K227" s="11"/>
      <c r="L227" s="12"/>
      <c r="M227" s="54" t="s">
        <v>97</v>
      </c>
      <c r="N227" s="51">
        <v>58326.363599999997</v>
      </c>
      <c r="O227" s="51">
        <v>58326.363599999997</v>
      </c>
      <c r="P227" s="56"/>
      <c r="Q227" s="52">
        <f t="shared" si="12"/>
        <v>0</v>
      </c>
    </row>
    <row r="228" spans="4:17" ht="18.75">
      <c r="D228" s="11">
        <v>24</v>
      </c>
      <c r="E228" s="12" t="s">
        <v>38</v>
      </c>
      <c r="F228" s="54" t="s">
        <v>70</v>
      </c>
      <c r="G228" s="51">
        <v>7719.2400000000007</v>
      </c>
      <c r="H228" s="51">
        <v>7719.24</v>
      </c>
      <c r="I228" s="171"/>
      <c r="J228" s="57">
        <f t="shared" ref="J228:J241" si="13">G228-H228</f>
        <v>0</v>
      </c>
      <c r="K228" s="11">
        <v>24</v>
      </c>
      <c r="L228" s="12" t="s">
        <v>38</v>
      </c>
      <c r="M228" s="15"/>
      <c r="N228" s="21"/>
      <c r="O228" s="21"/>
      <c r="P228" s="47">
        <f>N223+N224+N225+N226+N227</f>
        <v>193116.60840000003</v>
      </c>
      <c r="Q228" s="34"/>
    </row>
    <row r="229" spans="4:17" ht="18.75">
      <c r="D229" s="11"/>
      <c r="E229" s="12"/>
      <c r="F229" s="142" t="s">
        <v>101</v>
      </c>
      <c r="G229" s="137">
        <v>12305.155999999999</v>
      </c>
      <c r="H229" s="137">
        <v>18138.683000000001</v>
      </c>
      <c r="I229" s="171"/>
      <c r="J229" s="139">
        <f t="shared" si="13"/>
        <v>-5833.5270000000019</v>
      </c>
      <c r="K229" s="11"/>
      <c r="L229" s="12"/>
      <c r="M229" s="15"/>
      <c r="N229" s="21"/>
      <c r="O229" s="21"/>
      <c r="P229" s="47"/>
      <c r="Q229" s="34"/>
    </row>
    <row r="230" spans="4:17" ht="18.75">
      <c r="D230" s="11"/>
      <c r="E230" s="12"/>
      <c r="F230" s="54" t="s">
        <v>37</v>
      </c>
      <c r="G230" s="51">
        <v>85291.410999999993</v>
      </c>
      <c r="H230" s="51">
        <v>85291.411000000007</v>
      </c>
      <c r="I230" s="171"/>
      <c r="J230" s="57">
        <f t="shared" si="13"/>
        <v>0</v>
      </c>
      <c r="K230" s="11"/>
      <c r="L230" s="12"/>
      <c r="M230" s="15"/>
      <c r="N230" s="21"/>
      <c r="O230" s="21"/>
      <c r="P230" s="47"/>
      <c r="Q230" s="34"/>
    </row>
    <row r="231" spans="4:17" ht="18.75">
      <c r="D231" s="11"/>
      <c r="E231" s="12"/>
      <c r="F231" s="64" t="s">
        <v>26</v>
      </c>
      <c r="G231" s="65">
        <v>10313.620000000001</v>
      </c>
      <c r="H231" s="65">
        <v>0</v>
      </c>
      <c r="I231" s="171"/>
      <c r="J231" s="68">
        <f t="shared" si="13"/>
        <v>10313.620000000001</v>
      </c>
      <c r="K231" s="11"/>
      <c r="L231" s="12"/>
      <c r="M231" s="15"/>
      <c r="N231" s="21"/>
      <c r="O231" s="21"/>
      <c r="P231" s="47"/>
      <c r="Q231" s="34"/>
    </row>
    <row r="232" spans="4:17" ht="18.75">
      <c r="D232" s="11"/>
      <c r="E232" s="12"/>
      <c r="F232" s="54" t="s">
        <v>36</v>
      </c>
      <c r="G232" s="51">
        <v>7786.732</v>
      </c>
      <c r="H232" s="51">
        <v>7786.732</v>
      </c>
      <c r="I232" s="171"/>
      <c r="J232" s="57">
        <f t="shared" si="13"/>
        <v>0</v>
      </c>
      <c r="K232" s="11"/>
      <c r="L232" s="12"/>
      <c r="M232" s="15"/>
      <c r="N232" s="21"/>
      <c r="O232" s="21"/>
      <c r="P232" s="47"/>
      <c r="Q232" s="34"/>
    </row>
    <row r="233" spans="4:17" ht="18.75">
      <c r="D233" s="11">
        <v>25</v>
      </c>
      <c r="E233" s="12" t="s">
        <v>39</v>
      </c>
      <c r="F233" s="64" t="s">
        <v>76</v>
      </c>
      <c r="G233" s="65">
        <v>60887.3</v>
      </c>
      <c r="H233" s="65">
        <v>0</v>
      </c>
      <c r="I233" s="174"/>
      <c r="J233" s="68">
        <f t="shared" si="13"/>
        <v>60887.3</v>
      </c>
      <c r="K233" s="11">
        <v>25</v>
      </c>
      <c r="L233" s="12" t="s">
        <v>39</v>
      </c>
      <c r="M233" s="15"/>
      <c r="N233" s="21"/>
      <c r="O233" s="21"/>
      <c r="P233" s="47"/>
      <c r="Q233" s="34"/>
    </row>
    <row r="234" spans="4:17" ht="18.75">
      <c r="D234" s="11"/>
      <c r="E234" s="12"/>
      <c r="F234" s="54" t="s">
        <v>96</v>
      </c>
      <c r="G234" s="51">
        <v>29952.59</v>
      </c>
      <c r="H234" s="51">
        <v>29952.59</v>
      </c>
      <c r="I234" s="174"/>
      <c r="J234" s="57">
        <f t="shared" si="13"/>
        <v>0</v>
      </c>
      <c r="K234" s="11"/>
      <c r="L234" s="12"/>
      <c r="M234" s="15"/>
      <c r="N234" s="21"/>
      <c r="O234" s="21"/>
      <c r="P234" s="47"/>
      <c r="Q234" s="34"/>
    </row>
    <row r="235" spans="4:17" ht="18.75">
      <c r="D235" s="8"/>
      <c r="E235" s="3"/>
      <c r="F235" s="54" t="s">
        <v>72</v>
      </c>
      <c r="G235" s="51">
        <v>25389.86</v>
      </c>
      <c r="H235" s="51">
        <v>25389.86</v>
      </c>
      <c r="I235" s="174"/>
      <c r="J235" s="57">
        <f t="shared" si="13"/>
        <v>0</v>
      </c>
      <c r="K235" s="11"/>
      <c r="L235" s="12"/>
      <c r="M235" s="15"/>
      <c r="N235" s="21"/>
      <c r="O235" s="21"/>
      <c r="P235" s="47"/>
      <c r="Q235" s="34"/>
    </row>
    <row r="236" spans="4:17" s="1" customFormat="1" ht="18.75">
      <c r="D236" s="8"/>
      <c r="E236" s="3"/>
      <c r="F236" s="54" t="s">
        <v>77</v>
      </c>
      <c r="G236" s="51">
        <v>26009.33</v>
      </c>
      <c r="H236" s="51">
        <v>26009.33</v>
      </c>
      <c r="I236" s="174"/>
      <c r="J236" s="57">
        <f t="shared" si="13"/>
        <v>0</v>
      </c>
      <c r="K236" s="8"/>
      <c r="L236" s="3"/>
      <c r="M236" s="15"/>
      <c r="N236" s="21"/>
      <c r="O236" s="21"/>
      <c r="P236" s="47"/>
      <c r="Q236" s="34"/>
    </row>
    <row r="237" spans="4:17" s="1" customFormat="1" ht="18.75">
      <c r="D237" s="8"/>
      <c r="E237" s="3"/>
      <c r="F237" s="54" t="s">
        <v>37</v>
      </c>
      <c r="G237" s="51">
        <v>58326.363599999997</v>
      </c>
      <c r="H237" s="51">
        <v>58326.363599999997</v>
      </c>
      <c r="I237" s="171"/>
      <c r="J237" s="57">
        <f t="shared" si="13"/>
        <v>0</v>
      </c>
      <c r="K237" s="8"/>
      <c r="L237" s="3"/>
      <c r="M237" s="15"/>
      <c r="N237" s="21"/>
      <c r="O237" s="21"/>
      <c r="P237" s="47"/>
      <c r="Q237" s="34"/>
    </row>
    <row r="238" spans="4:17" ht="18.75">
      <c r="D238" s="11"/>
      <c r="E238" s="12"/>
      <c r="F238" s="15"/>
      <c r="G238" s="21"/>
      <c r="H238" s="21"/>
      <c r="I238" s="174"/>
      <c r="J238" s="40"/>
      <c r="K238" s="11"/>
      <c r="L238" s="12"/>
      <c r="M238" s="15"/>
      <c r="N238" s="21"/>
      <c r="O238" s="21"/>
      <c r="P238" s="47"/>
      <c r="Q238" s="34"/>
    </row>
    <row r="239" spans="4:17" ht="18.75">
      <c r="D239" s="8">
        <v>26</v>
      </c>
      <c r="E239" s="3" t="s">
        <v>40</v>
      </c>
      <c r="F239" s="54" t="s">
        <v>108</v>
      </c>
      <c r="G239" s="51">
        <v>51613.02</v>
      </c>
      <c r="H239" s="51">
        <v>51613.02</v>
      </c>
      <c r="I239" s="171"/>
      <c r="J239" s="57">
        <f t="shared" si="13"/>
        <v>0</v>
      </c>
      <c r="K239" s="11">
        <v>26</v>
      </c>
      <c r="L239" s="12" t="s">
        <v>40</v>
      </c>
      <c r="M239" s="54" t="s">
        <v>97</v>
      </c>
      <c r="N239" s="51">
        <v>29952.59</v>
      </c>
      <c r="O239" s="95">
        <v>29952.59</v>
      </c>
      <c r="P239" s="56"/>
      <c r="Q239" s="52">
        <f>N239-O239</f>
        <v>0</v>
      </c>
    </row>
    <row r="240" spans="4:17" ht="18.75">
      <c r="D240" s="8"/>
      <c r="E240" s="3"/>
      <c r="F240" s="142" t="s">
        <v>76</v>
      </c>
      <c r="G240" s="137">
        <v>53548.27</v>
      </c>
      <c r="H240" s="137"/>
      <c r="I240" s="171"/>
      <c r="J240" s="139">
        <f t="shared" si="13"/>
        <v>53548.27</v>
      </c>
      <c r="K240" s="11"/>
      <c r="L240" s="12"/>
      <c r="M240" s="15"/>
      <c r="N240" s="21"/>
      <c r="O240" s="21"/>
      <c r="P240" s="47">
        <f>N239</f>
        <v>29952.59</v>
      </c>
      <c r="Q240" s="34"/>
    </row>
    <row r="241" spans="4:17" ht="18.75">
      <c r="D241" s="8"/>
      <c r="E241" s="3"/>
      <c r="F241" s="54" t="s">
        <v>37</v>
      </c>
      <c r="G241" s="51">
        <v>36500.472800000003</v>
      </c>
      <c r="H241" s="51">
        <v>36500.472800000003</v>
      </c>
      <c r="I241" s="171"/>
      <c r="J241" s="57">
        <f t="shared" si="13"/>
        <v>0</v>
      </c>
      <c r="K241" s="11"/>
      <c r="L241" s="12"/>
      <c r="M241" s="15"/>
      <c r="N241" s="21"/>
      <c r="O241" s="21"/>
      <c r="P241" s="47"/>
      <c r="Q241" s="34"/>
    </row>
    <row r="242" spans="4:17" ht="18.75">
      <c r="D242" s="11">
        <v>27</v>
      </c>
      <c r="E242" s="12" t="s">
        <v>41</v>
      </c>
      <c r="F242" s="54" t="s">
        <v>62</v>
      </c>
      <c r="G242" s="52">
        <v>10041.324000000001</v>
      </c>
      <c r="H242" s="52">
        <v>10041.324000000001</v>
      </c>
      <c r="I242" s="171"/>
      <c r="J242" s="57">
        <f t="shared" ref="J242:J278" si="14">G242-H242</f>
        <v>0</v>
      </c>
      <c r="K242" s="11">
        <v>27</v>
      </c>
      <c r="L242" s="12" t="s">
        <v>41</v>
      </c>
      <c r="M242" s="15"/>
      <c r="N242" s="21"/>
      <c r="O242" s="35"/>
      <c r="P242" s="47"/>
      <c r="Q242" s="34"/>
    </row>
    <row r="243" spans="4:17" ht="18.75">
      <c r="D243" s="11"/>
      <c r="E243" s="12"/>
      <c r="F243" s="142" t="s">
        <v>76</v>
      </c>
      <c r="G243" s="144">
        <v>49418.210000000006</v>
      </c>
      <c r="H243" s="144"/>
      <c r="I243" s="172"/>
      <c r="J243" s="139">
        <f t="shared" si="14"/>
        <v>49418.210000000006</v>
      </c>
      <c r="K243" s="11"/>
      <c r="L243" s="12"/>
      <c r="M243" s="15"/>
      <c r="N243" s="21"/>
      <c r="O243" s="35"/>
      <c r="P243" s="47"/>
      <c r="Q243" s="34"/>
    </row>
    <row r="244" spans="4:17" ht="18.75">
      <c r="D244" s="11">
        <v>28</v>
      </c>
      <c r="E244" s="12" t="s">
        <v>42</v>
      </c>
      <c r="F244" s="54" t="s">
        <v>92</v>
      </c>
      <c r="G244" s="51">
        <v>25569.27</v>
      </c>
      <c r="H244" s="51">
        <v>25569.27</v>
      </c>
      <c r="I244" s="174"/>
      <c r="J244" s="57">
        <f t="shared" si="14"/>
        <v>0</v>
      </c>
      <c r="K244" s="11">
        <v>28</v>
      </c>
      <c r="L244" s="12" t="s">
        <v>42</v>
      </c>
      <c r="M244" s="64" t="s">
        <v>114</v>
      </c>
      <c r="N244" s="51">
        <v>132975.43299999999</v>
      </c>
      <c r="O244" s="65">
        <v>161993.04399999999</v>
      </c>
      <c r="P244" s="67"/>
      <c r="Q244" s="69">
        <f>N244-O244</f>
        <v>-29017.611000000004</v>
      </c>
    </row>
    <row r="245" spans="4:17" ht="18.75">
      <c r="D245" s="11"/>
      <c r="E245" s="12"/>
      <c r="F245" s="54" t="s">
        <v>83</v>
      </c>
      <c r="G245" s="51">
        <v>128211.95</v>
      </c>
      <c r="H245" s="51">
        <v>128211.95</v>
      </c>
      <c r="I245" s="171"/>
      <c r="J245" s="57">
        <f t="shared" si="14"/>
        <v>0</v>
      </c>
      <c r="K245" s="11"/>
      <c r="L245" s="12"/>
      <c r="M245" s="15"/>
      <c r="N245" s="21"/>
      <c r="O245" s="21"/>
      <c r="P245" s="47">
        <f>N244</f>
        <v>132975.43299999999</v>
      </c>
      <c r="Q245" s="34"/>
    </row>
    <row r="246" spans="4:17" ht="18.75">
      <c r="D246" s="11"/>
      <c r="E246" s="12"/>
      <c r="F246" s="54" t="s">
        <v>73</v>
      </c>
      <c r="G246" s="51">
        <v>19098.379999999997</v>
      </c>
      <c r="H246" s="51">
        <v>19098.38</v>
      </c>
      <c r="I246" s="171"/>
      <c r="J246" s="57">
        <f t="shared" si="14"/>
        <v>0</v>
      </c>
      <c r="K246" s="11"/>
      <c r="L246" s="12"/>
      <c r="M246" s="15"/>
      <c r="N246" s="21"/>
      <c r="O246" s="21"/>
      <c r="P246" s="47"/>
      <c r="Q246" s="34"/>
    </row>
    <row r="247" spans="4:17" ht="18.75">
      <c r="D247" s="11"/>
      <c r="E247" s="12"/>
      <c r="F247" s="54" t="s">
        <v>14</v>
      </c>
      <c r="G247" s="51">
        <v>64857.38</v>
      </c>
      <c r="H247" s="51">
        <v>64857.380000000005</v>
      </c>
      <c r="I247" s="171"/>
      <c r="J247" s="57">
        <f t="shared" si="14"/>
        <v>0</v>
      </c>
      <c r="K247" s="11"/>
      <c r="L247" s="12"/>
      <c r="M247" s="15"/>
      <c r="N247" s="21"/>
      <c r="O247" s="21"/>
      <c r="P247" s="47"/>
      <c r="Q247" s="34"/>
    </row>
    <row r="248" spans="4:17" ht="18.75">
      <c r="D248" s="11"/>
      <c r="E248" s="12"/>
      <c r="F248" s="54" t="s">
        <v>28</v>
      </c>
      <c r="G248" s="51">
        <v>51111.75</v>
      </c>
      <c r="H248" s="51">
        <v>51111.75</v>
      </c>
      <c r="I248" s="171"/>
      <c r="J248" s="57">
        <f t="shared" si="14"/>
        <v>0</v>
      </c>
      <c r="K248" s="11"/>
      <c r="L248" s="12"/>
      <c r="M248" s="15"/>
      <c r="N248" s="21"/>
      <c r="O248" s="21"/>
      <c r="P248" s="47"/>
      <c r="Q248" s="34"/>
    </row>
    <row r="249" spans="4:17" ht="18.75">
      <c r="D249" s="11"/>
      <c r="E249" s="12"/>
      <c r="F249" s="54" t="s">
        <v>16</v>
      </c>
      <c r="G249" s="51">
        <v>27881.77</v>
      </c>
      <c r="H249" s="51">
        <v>27881.77</v>
      </c>
      <c r="I249" s="171"/>
      <c r="J249" s="57">
        <f t="shared" si="14"/>
        <v>0</v>
      </c>
      <c r="K249" s="11"/>
      <c r="L249" s="12"/>
      <c r="M249" s="15"/>
      <c r="N249" s="21"/>
      <c r="O249" s="21"/>
      <c r="P249" s="47"/>
      <c r="Q249" s="34"/>
    </row>
    <row r="250" spans="4:17" ht="18.75">
      <c r="D250" s="11"/>
      <c r="E250" s="12"/>
      <c r="F250" s="54" t="s">
        <v>122</v>
      </c>
      <c r="G250" s="51">
        <v>26063.759999999998</v>
      </c>
      <c r="H250" s="51">
        <v>26063.759999999998</v>
      </c>
      <c r="I250" s="56"/>
      <c r="J250" s="57">
        <f t="shared" si="14"/>
        <v>0</v>
      </c>
      <c r="K250" s="11"/>
      <c r="L250" s="12"/>
      <c r="M250" s="15"/>
      <c r="N250" s="21"/>
      <c r="O250" s="21"/>
      <c r="P250" s="47"/>
      <c r="Q250" s="34"/>
    </row>
    <row r="251" spans="4:17" ht="18.75">
      <c r="D251" s="11">
        <v>29</v>
      </c>
      <c r="E251" s="183" t="s">
        <v>21</v>
      </c>
      <c r="F251" s="142" t="s">
        <v>83</v>
      </c>
      <c r="G251" s="137">
        <v>2634.1600000000003</v>
      </c>
      <c r="H251" s="137">
        <v>2935.32</v>
      </c>
      <c r="I251" s="171"/>
      <c r="J251" s="139">
        <f t="shared" si="14"/>
        <v>-301.15999999999985</v>
      </c>
      <c r="K251" s="11">
        <v>29</v>
      </c>
      <c r="L251" s="12" t="s">
        <v>21</v>
      </c>
      <c r="M251" s="15"/>
      <c r="N251" s="21"/>
      <c r="O251" s="21"/>
      <c r="P251" s="47"/>
      <c r="Q251" s="34"/>
    </row>
    <row r="252" spans="4:17" ht="18.75">
      <c r="D252" s="11"/>
      <c r="E252" s="12"/>
      <c r="F252" s="54" t="s">
        <v>73</v>
      </c>
      <c r="G252" s="51">
        <v>7810.95</v>
      </c>
      <c r="H252" s="51">
        <v>7810.95</v>
      </c>
      <c r="I252" s="171"/>
      <c r="J252" s="57">
        <f t="shared" si="14"/>
        <v>0</v>
      </c>
      <c r="K252" s="11"/>
      <c r="L252" s="12"/>
      <c r="M252" s="15"/>
      <c r="N252" s="21"/>
      <c r="O252" s="21"/>
      <c r="P252" s="47"/>
      <c r="Q252" s="34"/>
    </row>
    <row r="253" spans="4:17" ht="18.75">
      <c r="D253" s="11"/>
      <c r="E253" s="183"/>
      <c r="F253" s="142" t="s">
        <v>104</v>
      </c>
      <c r="G253" s="179">
        <v>161993.04399999999</v>
      </c>
      <c r="H253" s="146">
        <v>132975.43299999999</v>
      </c>
      <c r="I253" s="171"/>
      <c r="J253" s="139">
        <f>G253-H253</f>
        <v>29017.611000000004</v>
      </c>
      <c r="K253" s="11"/>
      <c r="L253" s="12"/>
      <c r="M253" s="15"/>
      <c r="N253" s="21"/>
      <c r="O253" s="21"/>
      <c r="P253" s="47"/>
      <c r="Q253" s="34"/>
    </row>
    <row r="254" spans="4:17" ht="18.75">
      <c r="D254" s="11"/>
      <c r="E254" s="12"/>
      <c r="F254" s="54" t="s">
        <v>100</v>
      </c>
      <c r="G254" s="51">
        <v>5196.59</v>
      </c>
      <c r="H254" s="51">
        <v>5196.59</v>
      </c>
      <c r="I254" s="171"/>
      <c r="J254" s="57">
        <f t="shared" si="14"/>
        <v>0</v>
      </c>
      <c r="K254" s="11"/>
      <c r="L254" s="12"/>
      <c r="M254" s="15"/>
      <c r="N254" s="21"/>
      <c r="O254" s="21"/>
      <c r="P254" s="47"/>
      <c r="Q254" s="34"/>
    </row>
    <row r="255" spans="4:17" ht="18.75">
      <c r="D255" s="11"/>
      <c r="E255" s="12"/>
      <c r="F255" s="54" t="s">
        <v>98</v>
      </c>
      <c r="G255" s="51">
        <v>153171.10999999999</v>
      </c>
      <c r="H255" s="51">
        <v>153171.10999999999</v>
      </c>
      <c r="I255" s="175"/>
      <c r="J255" s="57">
        <f t="shared" si="14"/>
        <v>0</v>
      </c>
      <c r="K255" s="11"/>
      <c r="L255" s="12"/>
      <c r="M255" s="15"/>
      <c r="N255" s="21"/>
      <c r="O255" s="21"/>
      <c r="P255" s="47"/>
      <c r="Q255" s="34"/>
    </row>
    <row r="256" spans="4:17" ht="18.75">
      <c r="D256" s="11">
        <v>30</v>
      </c>
      <c r="E256" s="12" t="s">
        <v>43</v>
      </c>
      <c r="F256" s="54" t="s">
        <v>83</v>
      </c>
      <c r="G256" s="51">
        <v>162335.76</v>
      </c>
      <c r="H256" s="53">
        <v>162335.70000000001</v>
      </c>
      <c r="I256" s="171"/>
      <c r="J256" s="139">
        <f t="shared" si="14"/>
        <v>5.9999999997671694E-2</v>
      </c>
      <c r="K256" s="11">
        <v>30</v>
      </c>
      <c r="L256" s="12" t="s">
        <v>43</v>
      </c>
      <c r="M256" s="54" t="s">
        <v>112</v>
      </c>
      <c r="N256" s="51">
        <v>124925.0796</v>
      </c>
      <c r="O256" s="51">
        <v>124925.0796</v>
      </c>
      <c r="P256" s="86"/>
      <c r="Q256" s="52">
        <f>N256-O256</f>
        <v>0</v>
      </c>
    </row>
    <row r="257" spans="4:17" ht="18.75">
      <c r="D257" s="11"/>
      <c r="E257" s="12"/>
      <c r="F257" s="54" t="s">
        <v>73</v>
      </c>
      <c r="G257" s="51">
        <v>54258.63</v>
      </c>
      <c r="H257" s="53">
        <v>54258.63</v>
      </c>
      <c r="I257" s="171"/>
      <c r="J257" s="57">
        <f t="shared" si="14"/>
        <v>0</v>
      </c>
      <c r="K257" s="11"/>
      <c r="L257" s="12"/>
      <c r="M257" s="54" t="s">
        <v>117</v>
      </c>
      <c r="N257" s="51">
        <v>108893.9394</v>
      </c>
      <c r="O257" s="51">
        <v>108893.9394</v>
      </c>
      <c r="P257" s="86"/>
      <c r="Q257" s="52">
        <f>N257-O257</f>
        <v>0</v>
      </c>
    </row>
    <row r="258" spans="4:17" ht="18.75">
      <c r="D258" s="11"/>
      <c r="E258" s="12"/>
      <c r="F258" s="54" t="s">
        <v>75</v>
      </c>
      <c r="G258" s="51">
        <v>51297.827999999994</v>
      </c>
      <c r="H258" s="53">
        <v>51297.827999999994</v>
      </c>
      <c r="I258" s="171"/>
      <c r="J258" s="57">
        <f t="shared" si="14"/>
        <v>0</v>
      </c>
      <c r="K258" s="11"/>
      <c r="L258" s="12"/>
      <c r="M258" s="54" t="s">
        <v>111</v>
      </c>
      <c r="N258" s="51">
        <v>78055.03</v>
      </c>
      <c r="O258" s="51">
        <v>78055.03</v>
      </c>
      <c r="P258" s="86"/>
      <c r="Q258" s="52">
        <f>N258-O258</f>
        <v>0</v>
      </c>
    </row>
    <row r="259" spans="4:17" ht="18.75">
      <c r="D259" s="11"/>
      <c r="E259" s="12"/>
      <c r="F259" s="54" t="s">
        <v>79</v>
      </c>
      <c r="G259" s="51">
        <v>44144.83</v>
      </c>
      <c r="H259" s="53">
        <v>44144.83</v>
      </c>
      <c r="I259" s="171"/>
      <c r="J259" s="57">
        <f t="shared" si="14"/>
        <v>0</v>
      </c>
      <c r="K259" s="11"/>
      <c r="L259" s="12"/>
      <c r="M259" s="64" t="s">
        <v>12</v>
      </c>
      <c r="N259" s="65">
        <v>3278.9088000000002</v>
      </c>
      <c r="O259" s="65">
        <v>0</v>
      </c>
      <c r="P259" s="134"/>
      <c r="Q259" s="69">
        <f>N259-O259</f>
        <v>3278.9088000000002</v>
      </c>
    </row>
    <row r="260" spans="4:17" ht="18.75">
      <c r="D260" s="11"/>
      <c r="E260" s="12"/>
      <c r="F260" s="54" t="s">
        <v>77</v>
      </c>
      <c r="G260" s="51">
        <v>155709.68</v>
      </c>
      <c r="H260" s="53">
        <v>155709.68</v>
      </c>
      <c r="I260" s="171"/>
      <c r="J260" s="57">
        <f t="shared" si="14"/>
        <v>0</v>
      </c>
      <c r="K260" s="11"/>
      <c r="L260" s="12"/>
      <c r="M260" s="15"/>
      <c r="N260" s="21"/>
      <c r="O260" s="21"/>
      <c r="P260" s="17">
        <f>N256+N257+N258+N259</f>
        <v>315152.95779999997</v>
      </c>
      <c r="Q260" s="34"/>
    </row>
    <row r="261" spans="4:17" ht="18.75">
      <c r="D261" s="11"/>
      <c r="E261" s="12"/>
      <c r="F261" s="142" t="s">
        <v>74</v>
      </c>
      <c r="G261" s="137">
        <v>114197.89</v>
      </c>
      <c r="H261" s="140">
        <v>115028.47</v>
      </c>
      <c r="I261" s="171"/>
      <c r="J261" s="179">
        <f t="shared" si="14"/>
        <v>-830.58000000000175</v>
      </c>
      <c r="K261" s="11"/>
      <c r="L261" s="12"/>
      <c r="M261" s="9"/>
      <c r="N261" s="9"/>
      <c r="O261" s="9"/>
      <c r="P261" s="9"/>
      <c r="Q261" s="9"/>
    </row>
    <row r="262" spans="4:17" ht="18.75">
      <c r="D262" s="11"/>
      <c r="E262" s="12"/>
      <c r="F262" s="54" t="s">
        <v>107</v>
      </c>
      <c r="G262" s="51">
        <v>26071.48</v>
      </c>
      <c r="H262" s="53">
        <v>26071.48</v>
      </c>
      <c r="I262" s="176"/>
      <c r="J262" s="57">
        <f t="shared" si="14"/>
        <v>0</v>
      </c>
      <c r="K262" s="11"/>
      <c r="L262" s="12"/>
      <c r="M262" s="15"/>
      <c r="N262" s="21"/>
      <c r="O262" s="21"/>
      <c r="P262" s="17"/>
      <c r="Q262" s="34"/>
    </row>
    <row r="263" spans="4:17" ht="18.75">
      <c r="D263" s="11">
        <v>31</v>
      </c>
      <c r="E263" s="160" t="s">
        <v>44</v>
      </c>
      <c r="F263" s="54" t="s">
        <v>83</v>
      </c>
      <c r="G263" s="51">
        <v>5914.67</v>
      </c>
      <c r="H263" s="51">
        <v>5914.67</v>
      </c>
      <c r="I263" s="171"/>
      <c r="J263" s="57">
        <f t="shared" si="14"/>
        <v>0</v>
      </c>
      <c r="K263" s="11">
        <v>31</v>
      </c>
      <c r="L263" s="12" t="s">
        <v>44</v>
      </c>
      <c r="M263" s="15"/>
      <c r="N263" s="21"/>
      <c r="O263" s="21"/>
      <c r="P263" s="47"/>
      <c r="Q263" s="34"/>
    </row>
    <row r="264" spans="4:17" ht="18.75">
      <c r="D264" s="11"/>
      <c r="E264" s="12"/>
      <c r="F264" s="54" t="s">
        <v>116</v>
      </c>
      <c r="G264" s="53">
        <v>108893.9394</v>
      </c>
      <c r="H264" s="51">
        <v>108893.9394</v>
      </c>
      <c r="I264" s="171"/>
      <c r="J264" s="57">
        <f t="shared" si="14"/>
        <v>0</v>
      </c>
      <c r="K264" s="11"/>
      <c r="L264" s="12"/>
      <c r="M264" s="15"/>
      <c r="N264" s="21"/>
      <c r="O264" s="21"/>
      <c r="P264" s="47"/>
      <c r="Q264" s="34"/>
    </row>
    <row r="265" spans="4:17" ht="18.75">
      <c r="D265" s="11"/>
      <c r="E265" s="12"/>
      <c r="F265" s="54" t="s">
        <v>74</v>
      </c>
      <c r="G265" s="51">
        <v>2438.4499999999998</v>
      </c>
      <c r="H265" s="51">
        <v>2438.4499999999998</v>
      </c>
      <c r="I265" s="171"/>
      <c r="J265" s="57">
        <f t="shared" si="14"/>
        <v>0</v>
      </c>
      <c r="K265" s="11"/>
      <c r="L265" s="12"/>
      <c r="M265" s="15"/>
      <c r="N265" s="21"/>
      <c r="O265" s="21"/>
      <c r="P265" s="47"/>
      <c r="Q265" s="34"/>
    </row>
    <row r="266" spans="4:17" ht="18.75">
      <c r="D266" s="11">
        <v>32</v>
      </c>
      <c r="E266" s="160" t="s">
        <v>45</v>
      </c>
      <c r="F266" s="54" t="s">
        <v>108</v>
      </c>
      <c r="G266" s="51">
        <v>76710.92</v>
      </c>
      <c r="H266" s="51">
        <v>76710.92</v>
      </c>
      <c r="I266" s="171"/>
      <c r="J266" s="57">
        <f t="shared" si="14"/>
        <v>0</v>
      </c>
      <c r="K266" s="11">
        <v>32</v>
      </c>
      <c r="L266" s="12" t="s">
        <v>45</v>
      </c>
      <c r="M266" s="54" t="s">
        <v>92</v>
      </c>
      <c r="N266" s="81">
        <v>475.65</v>
      </c>
      <c r="O266" s="81">
        <v>475.65</v>
      </c>
      <c r="P266" s="56"/>
      <c r="Q266" s="52">
        <f>N266-O266</f>
        <v>0</v>
      </c>
    </row>
    <row r="267" spans="4:17" ht="18.75">
      <c r="D267" s="11"/>
      <c r="E267" s="12"/>
      <c r="F267" s="54" t="s">
        <v>73</v>
      </c>
      <c r="G267" s="51">
        <v>121048.89</v>
      </c>
      <c r="H267" s="51">
        <v>121048.89</v>
      </c>
      <c r="I267" s="171"/>
      <c r="J267" s="57">
        <f t="shared" si="14"/>
        <v>0</v>
      </c>
      <c r="K267" s="11"/>
      <c r="L267" s="12"/>
      <c r="M267" s="54" t="s">
        <v>75</v>
      </c>
      <c r="N267" s="81">
        <v>469.25</v>
      </c>
      <c r="O267" s="81">
        <v>469.25</v>
      </c>
      <c r="P267" s="56"/>
      <c r="Q267" s="52">
        <f>N267-O267</f>
        <v>0</v>
      </c>
    </row>
    <row r="268" spans="4:17" ht="18.75">
      <c r="D268" s="11"/>
      <c r="E268" s="12"/>
      <c r="F268" s="54" t="s">
        <v>83</v>
      </c>
      <c r="G268" s="51">
        <v>343597.48</v>
      </c>
      <c r="H268" s="51">
        <v>343597.48</v>
      </c>
      <c r="I268" s="171"/>
      <c r="J268" s="57">
        <f t="shared" si="14"/>
        <v>0</v>
      </c>
      <c r="K268" s="11"/>
      <c r="L268" s="12"/>
      <c r="M268" s="54" t="s">
        <v>114</v>
      </c>
      <c r="N268" s="81">
        <v>153171.10999999999</v>
      </c>
      <c r="O268" s="81">
        <v>153171.10999999999</v>
      </c>
      <c r="P268" s="56"/>
      <c r="Q268" s="52">
        <f>N268-O268</f>
        <v>0</v>
      </c>
    </row>
    <row r="269" spans="4:17" ht="18.75">
      <c r="D269" s="11"/>
      <c r="E269" s="12"/>
      <c r="F269" s="54" t="s">
        <v>75</v>
      </c>
      <c r="G269" s="51">
        <v>102935.98</v>
      </c>
      <c r="H269" s="51">
        <v>102935.98000000001</v>
      </c>
      <c r="I269" s="171"/>
      <c r="J269" s="57">
        <f t="shared" si="14"/>
        <v>0</v>
      </c>
      <c r="K269" s="11"/>
      <c r="L269" s="12"/>
      <c r="M269" s="54" t="s">
        <v>111</v>
      </c>
      <c r="N269" s="81">
        <v>200628.69999999998</v>
      </c>
      <c r="O269" s="82">
        <v>267190.26</v>
      </c>
      <c r="Q269" s="69">
        <f>N269-O269</f>
        <v>-66561.560000000027</v>
      </c>
    </row>
    <row r="270" spans="4:17" ht="18.75">
      <c r="D270" s="11"/>
      <c r="E270" s="12"/>
      <c r="F270" s="54" t="s">
        <v>14</v>
      </c>
      <c r="G270" s="51">
        <v>74159.290000000008</v>
      </c>
      <c r="H270" s="51">
        <v>74159.289999999994</v>
      </c>
      <c r="I270" s="171"/>
      <c r="J270" s="57">
        <f t="shared" si="14"/>
        <v>0</v>
      </c>
      <c r="K270" s="11"/>
      <c r="L270" s="12"/>
      <c r="M270" s="15"/>
      <c r="N270" s="36"/>
      <c r="O270" s="36"/>
      <c r="P270" s="47">
        <f>SUM(N266:N269)</f>
        <v>354744.70999999996</v>
      </c>
      <c r="Q270" s="34"/>
    </row>
    <row r="271" spans="4:17" ht="18.75">
      <c r="D271" s="11"/>
      <c r="E271" s="12"/>
      <c r="F271" s="54" t="s">
        <v>25</v>
      </c>
      <c r="G271" s="51">
        <v>112602.56</v>
      </c>
      <c r="H271" s="51">
        <v>112602.56</v>
      </c>
      <c r="I271" s="174"/>
      <c r="J271" s="57">
        <f t="shared" si="14"/>
        <v>0</v>
      </c>
      <c r="K271" s="11"/>
      <c r="L271" s="12"/>
      <c r="M271" s="15"/>
      <c r="N271" s="36"/>
      <c r="O271" s="36"/>
      <c r="P271" s="47"/>
      <c r="Q271" s="34"/>
    </row>
    <row r="272" spans="4:17" ht="18.75">
      <c r="D272" s="11"/>
      <c r="E272" s="12"/>
      <c r="F272" s="54" t="s">
        <v>74</v>
      </c>
      <c r="G272" s="51">
        <v>78968.14</v>
      </c>
      <c r="H272" s="51">
        <v>78968.14</v>
      </c>
      <c r="I272" s="171"/>
      <c r="J272" s="57">
        <f t="shared" si="14"/>
        <v>0</v>
      </c>
      <c r="K272" s="11"/>
      <c r="L272" s="12"/>
      <c r="M272" s="15"/>
      <c r="N272" s="36"/>
      <c r="O272" s="36"/>
      <c r="P272" s="47"/>
      <c r="Q272" s="34"/>
    </row>
    <row r="273" spans="4:17" ht="18.75">
      <c r="D273" s="11">
        <v>33</v>
      </c>
      <c r="E273" s="160" t="s">
        <v>46</v>
      </c>
      <c r="F273" s="54" t="s">
        <v>83</v>
      </c>
      <c r="G273" s="51">
        <v>2625.74</v>
      </c>
      <c r="H273" s="59">
        <v>2625.74</v>
      </c>
      <c r="I273" s="177"/>
      <c r="J273" s="57">
        <f t="shared" si="14"/>
        <v>0</v>
      </c>
      <c r="K273" s="159">
        <v>33</v>
      </c>
      <c r="L273" s="160" t="s">
        <v>46</v>
      </c>
      <c r="M273" s="54"/>
      <c r="N273" s="51"/>
      <c r="O273" s="51"/>
      <c r="P273" s="56"/>
      <c r="Q273" s="52"/>
    </row>
    <row r="274" spans="4:17" ht="18.75">
      <c r="D274" s="11"/>
      <c r="E274" s="12"/>
      <c r="F274" s="54" t="s">
        <v>100</v>
      </c>
      <c r="G274" s="51">
        <v>7110.65</v>
      </c>
      <c r="H274" s="59">
        <v>7110.6540000000005</v>
      </c>
      <c r="I274" s="177"/>
      <c r="J274" s="158">
        <f t="shared" si="14"/>
        <v>-4.0000000008149073E-3</v>
      </c>
      <c r="K274" s="159"/>
      <c r="L274" s="160"/>
      <c r="M274" s="54"/>
      <c r="N274" s="51"/>
      <c r="O274" s="51"/>
      <c r="P274" s="56"/>
      <c r="Q274" s="52"/>
    </row>
    <row r="275" spans="4:17" ht="18.75">
      <c r="D275" s="11"/>
      <c r="E275" s="12"/>
      <c r="F275" s="54" t="s">
        <v>98</v>
      </c>
      <c r="G275" s="51">
        <v>200628.7</v>
      </c>
      <c r="H275" s="59">
        <v>200628.69999999998</v>
      </c>
      <c r="I275" s="177"/>
      <c r="J275" s="57">
        <f t="shared" si="14"/>
        <v>0</v>
      </c>
      <c r="K275" s="159"/>
      <c r="L275" s="160"/>
      <c r="M275" s="54"/>
      <c r="N275" s="51"/>
      <c r="O275" s="51"/>
      <c r="P275" s="56"/>
      <c r="Q275" s="52"/>
    </row>
    <row r="276" spans="4:17" ht="18.75">
      <c r="D276" s="11"/>
      <c r="E276" s="12"/>
      <c r="F276" s="54" t="s">
        <v>116</v>
      </c>
      <c r="G276" s="51">
        <v>78055.03</v>
      </c>
      <c r="H276" s="59">
        <v>78055.03</v>
      </c>
      <c r="I276" s="171"/>
      <c r="J276" s="91">
        <f t="shared" si="14"/>
        <v>0</v>
      </c>
      <c r="K276" s="159"/>
      <c r="L276" s="160"/>
      <c r="M276" s="54"/>
      <c r="N276" s="51"/>
      <c r="O276" s="51"/>
      <c r="P276" s="56"/>
      <c r="Q276" s="52"/>
    </row>
    <row r="277" spans="4:17" ht="18.75">
      <c r="D277" s="11">
        <v>34</v>
      </c>
      <c r="E277" s="12" t="s">
        <v>47</v>
      </c>
      <c r="F277" s="54" t="s">
        <v>83</v>
      </c>
      <c r="G277" s="51">
        <v>5404.96</v>
      </c>
      <c r="H277" s="53">
        <v>5404.96</v>
      </c>
      <c r="I277" s="177"/>
      <c r="J277" s="91">
        <f t="shared" si="14"/>
        <v>0</v>
      </c>
      <c r="K277" s="11">
        <v>34</v>
      </c>
      <c r="L277" s="12" t="s">
        <v>47</v>
      </c>
      <c r="M277" s="15"/>
      <c r="N277" s="21"/>
      <c r="O277" s="21"/>
      <c r="P277" s="47"/>
      <c r="Q277" s="34"/>
    </row>
    <row r="278" spans="4:17" ht="18.75">
      <c r="D278" s="11"/>
      <c r="E278" s="12"/>
      <c r="F278" s="54" t="s">
        <v>73</v>
      </c>
      <c r="G278" s="51">
        <v>298.42</v>
      </c>
      <c r="H278" s="53">
        <v>298.42</v>
      </c>
      <c r="I278" s="177"/>
      <c r="J278" s="91">
        <f t="shared" si="14"/>
        <v>0</v>
      </c>
      <c r="K278" s="11"/>
      <c r="L278" s="12"/>
      <c r="M278" s="15"/>
      <c r="N278" s="21"/>
      <c r="O278" s="21"/>
      <c r="P278" s="47"/>
      <c r="Q278" s="34"/>
    </row>
    <row r="279" spans="4:17" ht="18.75">
      <c r="D279" s="11"/>
      <c r="E279" s="12"/>
      <c r="F279" s="54" t="s">
        <v>43</v>
      </c>
      <c r="G279" s="51">
        <v>124925.0796</v>
      </c>
      <c r="H279" s="53">
        <v>124925.0796</v>
      </c>
      <c r="I279" s="177"/>
      <c r="J279" s="91">
        <f t="shared" ref="J279:J297" si="15">G279-H279</f>
        <v>0</v>
      </c>
      <c r="K279" s="11"/>
      <c r="L279" s="12"/>
      <c r="M279" s="15"/>
      <c r="N279" s="21"/>
      <c r="O279" s="21"/>
      <c r="P279" s="47"/>
      <c r="Q279" s="34"/>
    </row>
    <row r="280" spans="4:17" ht="21.75" customHeight="1">
      <c r="D280" s="11"/>
      <c r="E280" s="12"/>
      <c r="F280" s="148" t="s">
        <v>160</v>
      </c>
      <c r="G280" s="137">
        <v>15558.32</v>
      </c>
      <c r="H280" s="149">
        <v>25432.75</v>
      </c>
      <c r="I280" s="178"/>
      <c r="J280" s="66">
        <f>G280-H280</f>
        <v>-9874.43</v>
      </c>
      <c r="K280" s="11"/>
      <c r="L280" s="12"/>
      <c r="M280" s="15"/>
      <c r="N280" s="21"/>
      <c r="O280" s="21"/>
      <c r="P280" s="47"/>
      <c r="Q280" s="34"/>
    </row>
    <row r="281" spans="4:17" ht="18.75">
      <c r="D281" s="11">
        <v>35</v>
      </c>
      <c r="E281" s="12" t="s">
        <v>48</v>
      </c>
      <c r="F281" s="54" t="s">
        <v>92</v>
      </c>
      <c r="G281" s="51">
        <f>25553.17+25554.52+25294.74</f>
        <v>76402.430000000008</v>
      </c>
      <c r="H281" s="51">
        <v>75902.430000000008</v>
      </c>
      <c r="I281" s="171"/>
      <c r="J281" s="57">
        <f t="shared" si="15"/>
        <v>500</v>
      </c>
      <c r="K281" s="11">
        <v>35</v>
      </c>
      <c r="L281" s="12" t="s">
        <v>48</v>
      </c>
      <c r="M281" s="54" t="s">
        <v>92</v>
      </c>
      <c r="N281" s="53">
        <v>584</v>
      </c>
      <c r="O281" s="66">
        <v>275.72000000000003</v>
      </c>
      <c r="P281" s="67"/>
      <c r="Q281" s="69">
        <f>N281-O281</f>
        <v>308.27999999999997</v>
      </c>
    </row>
    <row r="282" spans="4:17" ht="18.75">
      <c r="D282" s="11"/>
      <c r="E282" s="12"/>
      <c r="F282" s="54" t="s">
        <v>83</v>
      </c>
      <c r="G282" s="51">
        <v>12812.46</v>
      </c>
      <c r="H282" s="51">
        <v>12812.46</v>
      </c>
      <c r="I282" s="171"/>
      <c r="J282" s="57">
        <f t="shared" si="15"/>
        <v>0</v>
      </c>
      <c r="K282" s="11"/>
      <c r="L282" s="12"/>
      <c r="M282" s="54" t="s">
        <v>127</v>
      </c>
      <c r="N282" s="53">
        <f>810+22844</f>
        <v>23654</v>
      </c>
      <c r="O282" s="53">
        <v>11279.51</v>
      </c>
      <c r="P282" s="56"/>
      <c r="Q282" s="52">
        <f>N282-O282</f>
        <v>12374.49</v>
      </c>
    </row>
    <row r="283" spans="4:17" ht="18.75">
      <c r="D283" s="11"/>
      <c r="E283" s="12"/>
      <c r="F283" s="54" t="s">
        <v>73</v>
      </c>
      <c r="G283" s="51">
        <f>6321.14+734.7</f>
        <v>7055.84</v>
      </c>
      <c r="H283" s="137">
        <v>7055.2099999999991</v>
      </c>
      <c r="I283" s="171"/>
      <c r="J283" s="139">
        <f t="shared" si="15"/>
        <v>0.63000000000101863</v>
      </c>
      <c r="K283" s="11"/>
      <c r="L283" s="12">
        <f>25294.74+25553.17+25554.52</f>
        <v>76402.430000000008</v>
      </c>
      <c r="M283" s="54" t="s">
        <v>20</v>
      </c>
      <c r="N283" s="53">
        <f>8260+3907</f>
        <v>12167</v>
      </c>
      <c r="O283" s="66">
        <v>5929.33</v>
      </c>
      <c r="P283" s="67"/>
      <c r="Q283" s="69">
        <f>N283-O283</f>
        <v>6237.67</v>
      </c>
    </row>
    <row r="284" spans="4:17" ht="18.75">
      <c r="D284" s="11"/>
      <c r="E284" s="12"/>
      <c r="F284" s="54" t="s">
        <v>75</v>
      </c>
      <c r="G284" s="51">
        <v>51468.72</v>
      </c>
      <c r="H284" s="51">
        <v>51468.72</v>
      </c>
      <c r="I284" s="171"/>
      <c r="J284" s="139">
        <f t="shared" si="15"/>
        <v>0</v>
      </c>
      <c r="K284" s="11"/>
      <c r="L284" s="12"/>
      <c r="M284" s="54" t="s">
        <v>12</v>
      </c>
      <c r="N284" s="53">
        <v>3116</v>
      </c>
      <c r="O284" s="16"/>
      <c r="P284" s="47"/>
      <c r="Q284" s="34">
        <f>N284-O284</f>
        <v>3116</v>
      </c>
    </row>
    <row r="285" spans="4:17" ht="18.75">
      <c r="D285" s="11"/>
      <c r="E285" s="12"/>
      <c r="F285" s="54" t="s">
        <v>64</v>
      </c>
      <c r="G285" s="51">
        <v>12303.439999999999</v>
      </c>
      <c r="H285" s="137">
        <v>29018.489999999998</v>
      </c>
      <c r="I285" s="171"/>
      <c r="J285" s="139">
        <f t="shared" si="15"/>
        <v>-16715.05</v>
      </c>
      <c r="K285" s="11"/>
      <c r="L285" s="12"/>
      <c r="M285" s="15"/>
      <c r="N285" s="16"/>
      <c r="O285" s="16"/>
      <c r="P285" s="47">
        <f>N281+N282+N283+N284</f>
        <v>39521</v>
      </c>
      <c r="Q285" s="34"/>
    </row>
    <row r="286" spans="4:17" ht="18.75">
      <c r="D286" s="11"/>
      <c r="E286" s="12"/>
      <c r="F286" s="167" t="s">
        <v>16</v>
      </c>
      <c r="G286" s="51">
        <v>37873.740000000005</v>
      </c>
      <c r="H286" s="65">
        <v>37435.69</v>
      </c>
      <c r="I286" s="171"/>
      <c r="J286" s="139">
        <f t="shared" si="15"/>
        <v>438.05000000000291</v>
      </c>
      <c r="K286" s="11"/>
      <c r="L286" s="12"/>
      <c r="M286" s="15"/>
      <c r="N286" s="16"/>
      <c r="O286" s="16"/>
      <c r="P286" s="47"/>
      <c r="Q286" s="34"/>
    </row>
    <row r="287" spans="4:17" ht="18.75">
      <c r="D287" s="11"/>
      <c r="E287" s="12"/>
      <c r="F287" s="54" t="s">
        <v>25</v>
      </c>
      <c r="G287" s="51">
        <v>20275.68</v>
      </c>
      <c r="H287" s="51">
        <v>20275.68</v>
      </c>
      <c r="I287" s="171"/>
      <c r="J287" s="57">
        <f t="shared" si="15"/>
        <v>0</v>
      </c>
      <c r="K287" s="11"/>
      <c r="L287" s="12"/>
      <c r="M287" s="15"/>
      <c r="N287" s="16"/>
      <c r="O287" s="16"/>
      <c r="P287" s="47"/>
      <c r="Q287" s="34"/>
    </row>
    <row r="288" spans="4:17" ht="18.75">
      <c r="D288" s="11"/>
      <c r="E288" s="17"/>
      <c r="F288" s="54" t="s">
        <v>28</v>
      </c>
      <c r="G288" s="51">
        <v>649.67999999999995</v>
      </c>
      <c r="H288" s="51">
        <v>649.67999999999995</v>
      </c>
      <c r="I288" s="171"/>
      <c r="J288" s="57">
        <f t="shared" si="15"/>
        <v>0</v>
      </c>
      <c r="K288" s="11"/>
      <c r="L288" s="12"/>
      <c r="M288" s="15"/>
      <c r="N288" s="16"/>
      <c r="O288" s="16"/>
      <c r="P288" s="47"/>
      <c r="Q288" s="34"/>
    </row>
    <row r="289" spans="2:17" ht="18.75">
      <c r="D289" s="11">
        <v>36</v>
      </c>
      <c r="E289" s="12" t="s">
        <v>49</v>
      </c>
      <c r="F289" s="54" t="s">
        <v>72</v>
      </c>
      <c r="G289" s="55">
        <v>77045.91</v>
      </c>
      <c r="H289" s="51">
        <v>77045.91</v>
      </c>
      <c r="I289" s="171"/>
      <c r="J289" s="57">
        <f t="shared" si="15"/>
        <v>0</v>
      </c>
      <c r="K289" s="11">
        <v>36</v>
      </c>
      <c r="L289" s="12" t="s">
        <v>49</v>
      </c>
      <c r="M289" s="54" t="s">
        <v>82</v>
      </c>
      <c r="N289" s="51">
        <v>91253.72</v>
      </c>
      <c r="O289" s="51">
        <v>91253.72</v>
      </c>
      <c r="P289" s="56"/>
      <c r="Q289" s="52">
        <f>N289-O289</f>
        <v>0</v>
      </c>
    </row>
    <row r="290" spans="2:17" ht="18.75">
      <c r="D290" s="11"/>
      <c r="E290" s="12"/>
      <c r="F290" s="54" t="s">
        <v>73</v>
      </c>
      <c r="G290" s="55">
        <v>28415.68</v>
      </c>
      <c r="H290" s="51">
        <v>28415.68</v>
      </c>
      <c r="I290" s="171"/>
      <c r="J290" s="57">
        <f t="shared" si="15"/>
        <v>0</v>
      </c>
      <c r="K290" s="11"/>
      <c r="L290" s="12"/>
      <c r="M290" s="15"/>
      <c r="N290" s="21"/>
      <c r="O290" s="21"/>
      <c r="P290" s="47"/>
      <c r="Q290" s="34"/>
    </row>
    <row r="291" spans="2:17" ht="18.75">
      <c r="D291" s="11"/>
      <c r="E291" s="12"/>
      <c r="F291" s="142" t="s">
        <v>74</v>
      </c>
      <c r="G291" s="181">
        <f>I291</f>
        <v>89397.430000000008</v>
      </c>
      <c r="H291" s="51">
        <v>115907.14</v>
      </c>
      <c r="I291" s="171">
        <f>26235.24+25991.88+26509.71+10660.6</f>
        <v>89397.430000000008</v>
      </c>
      <c r="J291" s="179">
        <f t="shared" si="15"/>
        <v>-26509.709999999992</v>
      </c>
      <c r="K291" s="11"/>
      <c r="L291" s="12"/>
      <c r="M291" s="15"/>
      <c r="N291" s="21"/>
      <c r="O291" s="21"/>
      <c r="P291" s="47"/>
      <c r="Q291" s="34"/>
    </row>
    <row r="292" spans="2:17" ht="18.75">
      <c r="D292" s="11"/>
      <c r="E292" s="12"/>
      <c r="F292" s="54" t="s">
        <v>75</v>
      </c>
      <c r="G292" s="150">
        <v>58260.390000000007</v>
      </c>
      <c r="H292" s="51">
        <v>58260.390000000007</v>
      </c>
      <c r="I292" s="171"/>
      <c r="J292" s="139">
        <f t="shared" si="15"/>
        <v>0</v>
      </c>
      <c r="K292" s="11"/>
      <c r="L292" s="12"/>
      <c r="M292" s="15"/>
      <c r="N292" s="21"/>
      <c r="O292" s="21"/>
      <c r="P292" s="47"/>
      <c r="Q292" s="34"/>
    </row>
    <row r="293" spans="2:17" ht="18.75">
      <c r="D293" s="11"/>
      <c r="E293" s="12"/>
      <c r="F293" s="142" t="s">
        <v>76</v>
      </c>
      <c r="G293" s="150">
        <v>25859.35</v>
      </c>
      <c r="H293" s="137"/>
      <c r="I293" s="171"/>
      <c r="J293" s="139">
        <f t="shared" si="15"/>
        <v>25859.35</v>
      </c>
      <c r="K293" s="11"/>
      <c r="L293" s="12"/>
      <c r="M293" s="15"/>
      <c r="N293" s="21"/>
      <c r="O293" s="21"/>
      <c r="P293" s="47"/>
      <c r="Q293" s="34"/>
    </row>
    <row r="294" spans="2:17" ht="18.75">
      <c r="D294" s="11"/>
      <c r="E294" s="12"/>
      <c r="F294" s="54" t="s">
        <v>77</v>
      </c>
      <c r="G294" s="150">
        <v>3835.51</v>
      </c>
      <c r="H294" s="51">
        <v>3835.51</v>
      </c>
      <c r="I294" s="171"/>
      <c r="J294" s="57">
        <f t="shared" si="15"/>
        <v>0</v>
      </c>
      <c r="K294" s="11"/>
      <c r="L294" s="12"/>
      <c r="M294" s="15"/>
      <c r="N294" s="21"/>
      <c r="O294" s="21"/>
      <c r="P294" s="47"/>
      <c r="Q294" s="34"/>
    </row>
    <row r="295" spans="2:17" ht="18.75">
      <c r="D295" s="11"/>
      <c r="E295" s="12"/>
      <c r="F295" s="54" t="s">
        <v>78</v>
      </c>
      <c r="G295" s="150">
        <v>2086.31</v>
      </c>
      <c r="H295" s="51">
        <v>2086.31</v>
      </c>
      <c r="I295" s="171"/>
      <c r="J295" s="57">
        <f t="shared" si="15"/>
        <v>0</v>
      </c>
      <c r="K295" s="11"/>
      <c r="L295" s="12"/>
      <c r="M295" s="15"/>
      <c r="N295" s="21"/>
      <c r="O295" s="21"/>
      <c r="P295" s="47"/>
      <c r="Q295" s="34"/>
    </row>
    <row r="296" spans="2:17" ht="18.75">
      <c r="D296" s="11"/>
      <c r="E296" s="12"/>
      <c r="F296" s="54" t="s">
        <v>79</v>
      </c>
      <c r="G296" s="84">
        <v>19412.72</v>
      </c>
      <c r="H296" s="51">
        <v>19412.72</v>
      </c>
      <c r="I296" s="171"/>
      <c r="J296" s="57">
        <f t="shared" si="15"/>
        <v>0</v>
      </c>
      <c r="K296" s="11"/>
      <c r="L296" s="12"/>
      <c r="M296" s="15"/>
      <c r="N296" s="21"/>
      <c r="O296" s="21"/>
      <c r="P296" s="47"/>
      <c r="Q296" s="34"/>
    </row>
    <row r="297" spans="2:17" ht="18.75">
      <c r="D297" s="11"/>
      <c r="E297" s="12"/>
      <c r="F297" s="54" t="s">
        <v>80</v>
      </c>
      <c r="G297" s="55">
        <v>12996.38</v>
      </c>
      <c r="H297" s="51">
        <v>12996.38</v>
      </c>
      <c r="I297" s="171"/>
      <c r="J297" s="57">
        <f t="shared" si="15"/>
        <v>0</v>
      </c>
      <c r="K297" s="11"/>
      <c r="L297" s="12"/>
      <c r="M297" s="15"/>
      <c r="N297" s="21"/>
      <c r="O297" s="21"/>
      <c r="P297" s="47"/>
      <c r="Q297" s="34"/>
    </row>
    <row r="298" spans="2:17" ht="18.75">
      <c r="D298" s="11"/>
      <c r="E298" s="12"/>
      <c r="F298" s="15"/>
      <c r="G298" s="41"/>
      <c r="H298" s="21"/>
      <c r="I298" s="171"/>
      <c r="J298" s="22"/>
      <c r="K298" s="11"/>
      <c r="L298" s="12"/>
      <c r="M298" s="15"/>
      <c r="N298" s="21"/>
      <c r="O298" s="21"/>
      <c r="P298" s="47"/>
      <c r="Q298" s="34"/>
    </row>
    <row r="299" spans="2:17" ht="18.75">
      <c r="D299" s="11"/>
      <c r="E299" s="12"/>
      <c r="F299" s="15"/>
      <c r="G299" s="41"/>
      <c r="H299" s="21"/>
      <c r="I299" s="171"/>
      <c r="J299" s="22"/>
      <c r="K299" s="11"/>
      <c r="L299" s="12"/>
      <c r="M299" s="15"/>
      <c r="N299" s="21"/>
      <c r="O299" s="21"/>
      <c r="P299" s="47"/>
      <c r="Q299" s="34"/>
    </row>
    <row r="300" spans="2:17" ht="18.75">
      <c r="B300" s="13"/>
      <c r="D300" s="11">
        <v>37</v>
      </c>
      <c r="E300" s="12" t="s">
        <v>20</v>
      </c>
      <c r="F300" s="64" t="s">
        <v>92</v>
      </c>
      <c r="G300" s="69">
        <v>116051.44</v>
      </c>
      <c r="H300" s="69">
        <v>100689.97</v>
      </c>
      <c r="I300" s="171"/>
      <c r="J300" s="68">
        <f t="shared" ref="J300:J339" si="16">G300-H300</f>
        <v>15361.470000000001</v>
      </c>
      <c r="K300" s="11">
        <v>37</v>
      </c>
      <c r="L300" s="12" t="s">
        <v>20</v>
      </c>
      <c r="M300" s="64" t="s">
        <v>68</v>
      </c>
      <c r="N300" s="65">
        <v>53602.52</v>
      </c>
      <c r="O300" s="65">
        <v>31442.74</v>
      </c>
      <c r="P300" s="67"/>
      <c r="Q300" s="69">
        <f t="shared" ref="Q300:Q309" si="17">N300-O300</f>
        <v>22159.779999999995</v>
      </c>
    </row>
    <row r="301" spans="2:17" ht="18.75">
      <c r="B301" s="72"/>
      <c r="D301" s="11"/>
      <c r="E301" s="12"/>
      <c r="F301" s="54" t="s">
        <v>11</v>
      </c>
      <c r="G301" s="52">
        <v>119891.81</v>
      </c>
      <c r="H301" s="52">
        <v>119891.81</v>
      </c>
      <c r="I301" s="171"/>
      <c r="J301" s="57">
        <f t="shared" si="16"/>
        <v>0</v>
      </c>
      <c r="K301" s="11"/>
      <c r="L301" s="12"/>
      <c r="M301" s="54" t="s">
        <v>114</v>
      </c>
      <c r="N301" s="51">
        <v>5196.59</v>
      </c>
      <c r="O301" s="51">
        <v>5196.59</v>
      </c>
      <c r="P301" s="56"/>
      <c r="Q301" s="52">
        <f t="shared" si="17"/>
        <v>0</v>
      </c>
    </row>
    <row r="302" spans="2:17" ht="18.75">
      <c r="B302" s="72"/>
      <c r="D302" s="11"/>
      <c r="E302" s="12"/>
      <c r="F302" s="142" t="s">
        <v>99</v>
      </c>
      <c r="G302" s="144">
        <v>5929.33</v>
      </c>
      <c r="H302" s="144">
        <v>5929.63</v>
      </c>
      <c r="I302" s="171"/>
      <c r="J302" s="139">
        <f t="shared" si="16"/>
        <v>-0.3000000000001819</v>
      </c>
      <c r="K302" s="11"/>
      <c r="L302" s="12"/>
      <c r="M302" s="64" t="s">
        <v>106</v>
      </c>
      <c r="N302" s="65">
        <v>94743.517000000007</v>
      </c>
      <c r="O302" s="65">
        <v>93763.6</v>
      </c>
      <c r="P302" s="67"/>
      <c r="Q302" s="69">
        <f t="shared" si="17"/>
        <v>979.91700000000128</v>
      </c>
    </row>
    <row r="303" spans="2:17" ht="18.75">
      <c r="B303" s="72"/>
      <c r="D303" s="11"/>
      <c r="E303" s="12"/>
      <c r="F303" s="54" t="s">
        <v>30</v>
      </c>
      <c r="G303" s="52">
        <v>7196.73</v>
      </c>
      <c r="H303" s="52">
        <v>7196.73</v>
      </c>
      <c r="I303" s="171"/>
      <c r="J303" s="57">
        <f t="shared" si="16"/>
        <v>0</v>
      </c>
      <c r="K303" s="11"/>
      <c r="L303" s="12"/>
      <c r="M303" s="64" t="s">
        <v>131</v>
      </c>
      <c r="N303" s="65">
        <v>30341.599999999999</v>
      </c>
      <c r="O303" s="65">
        <v>36398.187999999995</v>
      </c>
      <c r="P303" s="67"/>
      <c r="Q303" s="69">
        <f t="shared" si="17"/>
        <v>-6056.5879999999961</v>
      </c>
    </row>
    <row r="304" spans="2:17" ht="18.75">
      <c r="B304" s="72"/>
      <c r="D304" s="11"/>
      <c r="E304" s="12"/>
      <c r="F304" s="54" t="s">
        <v>74</v>
      </c>
      <c r="G304" s="52">
        <v>26404.2</v>
      </c>
      <c r="H304" s="52">
        <v>26404.2</v>
      </c>
      <c r="I304" s="171"/>
      <c r="J304" s="57">
        <f t="shared" si="16"/>
        <v>0</v>
      </c>
      <c r="K304" s="11"/>
      <c r="L304" s="12"/>
      <c r="M304" s="64" t="s">
        <v>111</v>
      </c>
      <c r="N304" s="65">
        <v>7110.6540000000005</v>
      </c>
      <c r="O304" s="65">
        <v>9736.3940000000002</v>
      </c>
      <c r="P304" s="67"/>
      <c r="Q304" s="69">
        <f t="shared" si="17"/>
        <v>-2625.74</v>
      </c>
    </row>
    <row r="305" spans="2:19" ht="18.75">
      <c r="B305" s="72"/>
      <c r="D305" s="11"/>
      <c r="E305" s="12"/>
      <c r="F305" s="54" t="s">
        <v>77</v>
      </c>
      <c r="G305" s="52">
        <v>151665.03999999998</v>
      </c>
      <c r="H305" s="52">
        <v>151665.03999999998</v>
      </c>
      <c r="I305" s="174"/>
      <c r="J305" s="57">
        <f t="shared" si="16"/>
        <v>0</v>
      </c>
      <c r="K305" s="11"/>
      <c r="L305" s="12"/>
      <c r="M305" s="64" t="s">
        <v>74</v>
      </c>
      <c r="N305" s="65">
        <v>621.73</v>
      </c>
      <c r="O305" s="65">
        <v>0</v>
      </c>
      <c r="P305" s="67"/>
      <c r="Q305" s="69">
        <f t="shared" si="17"/>
        <v>621.73</v>
      </c>
    </row>
    <row r="306" spans="2:19" ht="18.75">
      <c r="B306" s="72"/>
      <c r="D306" s="11"/>
      <c r="E306" s="12"/>
      <c r="F306" s="142" t="s">
        <v>107</v>
      </c>
      <c r="G306" s="144">
        <v>0</v>
      </c>
      <c r="H306" s="144">
        <v>212.76</v>
      </c>
      <c r="I306" s="171"/>
      <c r="J306" s="139">
        <f t="shared" si="16"/>
        <v>-212.76</v>
      </c>
      <c r="K306" s="11"/>
      <c r="L306" s="12"/>
      <c r="M306" s="64" t="s">
        <v>77</v>
      </c>
      <c r="N306" s="65">
        <v>1733.48</v>
      </c>
      <c r="O306" s="65">
        <v>0</v>
      </c>
      <c r="P306" s="47">
        <f>SUM(N300:N306)</f>
        <v>193350.09100000004</v>
      </c>
      <c r="Q306" s="69">
        <f t="shared" si="17"/>
        <v>1733.48</v>
      </c>
    </row>
    <row r="307" spans="2:19" ht="18.75">
      <c r="B307" s="72"/>
      <c r="D307" s="11"/>
      <c r="E307" s="12"/>
      <c r="F307" s="15"/>
      <c r="G307" s="34"/>
      <c r="H307" s="34"/>
      <c r="I307" s="171"/>
      <c r="J307" s="40"/>
      <c r="K307" s="11"/>
      <c r="L307" s="12"/>
      <c r="Q307" s="34"/>
    </row>
    <row r="308" spans="2:19" ht="18.75">
      <c r="D308" s="11">
        <v>38</v>
      </c>
      <c r="E308" s="12" t="s">
        <v>50</v>
      </c>
      <c r="F308" s="142" t="s">
        <v>92</v>
      </c>
      <c r="G308" s="137">
        <v>1023.1600000000001</v>
      </c>
      <c r="H308" s="138">
        <v>766.57</v>
      </c>
      <c r="I308" s="171"/>
      <c r="J308" s="139">
        <f t="shared" si="16"/>
        <v>256.59000000000003</v>
      </c>
      <c r="K308" s="11">
        <v>38</v>
      </c>
      <c r="L308" s="12" t="s">
        <v>50</v>
      </c>
      <c r="M308" s="64" t="s">
        <v>68</v>
      </c>
      <c r="N308" s="65">
        <v>0</v>
      </c>
      <c r="O308" s="65">
        <v>59090.25</v>
      </c>
      <c r="P308" s="67"/>
      <c r="Q308" s="69">
        <f t="shared" si="17"/>
        <v>-59090.25</v>
      </c>
      <c r="R308" s="136" t="s">
        <v>159</v>
      </c>
    </row>
    <row r="309" spans="2:19" ht="18.75">
      <c r="D309" s="11"/>
      <c r="E309" s="12"/>
      <c r="F309" s="54" t="s">
        <v>11</v>
      </c>
      <c r="G309" s="51">
        <v>10445.970000000001</v>
      </c>
      <c r="H309" s="59">
        <v>10445.969999999999</v>
      </c>
      <c r="I309" s="171"/>
      <c r="J309" s="57">
        <f t="shared" si="16"/>
        <v>0</v>
      </c>
      <c r="K309" s="11"/>
      <c r="L309" s="12"/>
      <c r="M309" s="64" t="s">
        <v>73</v>
      </c>
      <c r="N309" s="65">
        <v>0</v>
      </c>
      <c r="O309" s="65">
        <v>126.79</v>
      </c>
      <c r="P309" s="67"/>
      <c r="Q309" s="69">
        <f t="shared" si="17"/>
        <v>-126.79</v>
      </c>
    </row>
    <row r="310" spans="2:19" ht="18.75">
      <c r="D310" s="11"/>
      <c r="E310" s="12"/>
      <c r="F310" s="142" t="s">
        <v>100</v>
      </c>
      <c r="G310" s="137">
        <v>94044.450000000012</v>
      </c>
      <c r="H310" s="138">
        <v>94743.517000000007</v>
      </c>
      <c r="I310" s="171"/>
      <c r="J310" s="139">
        <f t="shared" si="16"/>
        <v>-699.06699999999546</v>
      </c>
      <c r="K310" s="11"/>
      <c r="L310" s="12"/>
      <c r="M310" s="15"/>
      <c r="N310" s="21"/>
      <c r="O310" s="21"/>
      <c r="P310" s="47"/>
      <c r="Q310" s="34"/>
    </row>
    <row r="311" spans="2:19" ht="18.75">
      <c r="D311" s="11"/>
      <c r="E311" s="12"/>
      <c r="F311" s="142" t="s">
        <v>77</v>
      </c>
      <c r="G311" s="137">
        <v>97561.689999999988</v>
      </c>
      <c r="H311" s="151">
        <v>97175.99</v>
      </c>
      <c r="I311" s="171"/>
      <c r="J311" s="139">
        <f t="shared" si="16"/>
        <v>385.69999999998254</v>
      </c>
      <c r="K311" s="11"/>
      <c r="L311" s="12"/>
      <c r="M311" s="15"/>
      <c r="N311" s="21"/>
      <c r="O311" s="21"/>
      <c r="P311" s="47"/>
      <c r="Q311" s="34"/>
    </row>
    <row r="312" spans="2:19" ht="18.75">
      <c r="D312" s="11"/>
      <c r="E312" s="12"/>
      <c r="F312" s="142" t="s">
        <v>76</v>
      </c>
      <c r="G312" s="137">
        <v>10634.57</v>
      </c>
      <c r="H312" s="151">
        <v>0</v>
      </c>
      <c r="I312" s="171"/>
      <c r="J312" s="139">
        <f t="shared" si="16"/>
        <v>10634.57</v>
      </c>
      <c r="K312" s="11"/>
      <c r="L312" s="12"/>
      <c r="M312" s="15"/>
      <c r="N312" s="21"/>
      <c r="O312" s="21"/>
      <c r="P312" s="47"/>
      <c r="Q312" s="34"/>
    </row>
    <row r="313" spans="2:19" ht="18.75">
      <c r="D313" s="11"/>
      <c r="E313" s="12"/>
      <c r="F313" s="54" t="s">
        <v>124</v>
      </c>
      <c r="G313" s="51">
        <v>2918.23</v>
      </c>
      <c r="H313" s="59">
        <v>2918.23</v>
      </c>
      <c r="I313" s="171"/>
      <c r="J313" s="57">
        <f t="shared" si="16"/>
        <v>0</v>
      </c>
      <c r="K313" s="11"/>
      <c r="L313" s="12"/>
      <c r="M313" s="15"/>
      <c r="N313" s="21"/>
      <c r="O313" s="21"/>
      <c r="P313" s="47"/>
      <c r="Q313" s="34"/>
    </row>
    <row r="314" spans="2:19" ht="18.75">
      <c r="D314" s="11"/>
      <c r="E314" s="12"/>
      <c r="F314" s="54" t="s">
        <v>107</v>
      </c>
      <c r="G314" s="51">
        <v>256.33999999999997</v>
      </c>
      <c r="H314" s="59">
        <v>256.33999999999997</v>
      </c>
      <c r="I314" s="171"/>
      <c r="J314" s="57">
        <f t="shared" si="16"/>
        <v>0</v>
      </c>
      <c r="K314" s="11"/>
      <c r="L314" s="12"/>
      <c r="M314" s="15"/>
      <c r="N314" s="21"/>
      <c r="O314" s="21"/>
      <c r="P314" s="47"/>
      <c r="Q314" s="34"/>
    </row>
    <row r="315" spans="2:19" ht="18.75">
      <c r="D315" s="11"/>
      <c r="E315" s="12"/>
      <c r="F315" s="15"/>
      <c r="G315" s="21"/>
      <c r="H315" s="29"/>
      <c r="I315" s="171"/>
      <c r="J315" s="40"/>
      <c r="K315" s="11"/>
      <c r="L315" s="12"/>
      <c r="M315" s="15"/>
      <c r="N315" s="21"/>
      <c r="O315" s="21"/>
      <c r="P315" s="47"/>
      <c r="Q315" s="34"/>
    </row>
    <row r="316" spans="2:19" s="28" customFormat="1" ht="18.75">
      <c r="D316" s="26">
        <v>39</v>
      </c>
      <c r="E316" s="12" t="s">
        <v>51</v>
      </c>
      <c r="F316" s="54" t="s">
        <v>11</v>
      </c>
      <c r="G316" s="51">
        <v>4908.45</v>
      </c>
      <c r="H316" s="51">
        <v>4908.45</v>
      </c>
      <c r="I316" s="171"/>
      <c r="J316" s="57">
        <f t="shared" si="16"/>
        <v>0</v>
      </c>
      <c r="K316" s="26">
        <v>39</v>
      </c>
      <c r="L316" s="12" t="s">
        <v>51</v>
      </c>
      <c r="M316" s="15"/>
      <c r="N316" s="21"/>
      <c r="O316" s="21"/>
      <c r="P316" s="47"/>
      <c r="Q316" s="34"/>
      <c r="R316" s="27"/>
      <c r="S316" s="27"/>
    </row>
    <row r="317" spans="2:19" s="28" customFormat="1" ht="18.75">
      <c r="D317" s="26"/>
      <c r="E317" s="12"/>
      <c r="F317" s="54" t="s">
        <v>25</v>
      </c>
      <c r="G317" s="51">
        <v>51003.040000000001</v>
      </c>
      <c r="H317" s="59">
        <v>51003.040000000001</v>
      </c>
      <c r="I317" s="171"/>
      <c r="J317" s="57">
        <f t="shared" si="16"/>
        <v>0</v>
      </c>
      <c r="K317" s="26"/>
      <c r="L317" s="12"/>
      <c r="M317" s="15"/>
      <c r="N317" s="21"/>
      <c r="O317" s="21"/>
      <c r="P317" s="47"/>
      <c r="Q317" s="34"/>
      <c r="R317" s="27"/>
      <c r="S317" s="27"/>
    </row>
    <row r="318" spans="2:19" s="28" customFormat="1" ht="18.75">
      <c r="D318" s="26"/>
      <c r="E318" s="12"/>
      <c r="F318" s="54" t="s">
        <v>64</v>
      </c>
      <c r="G318" s="51">
        <v>2889.47</v>
      </c>
      <c r="H318" s="59">
        <v>2889.47</v>
      </c>
      <c r="I318" s="171"/>
      <c r="J318" s="57">
        <f t="shared" si="16"/>
        <v>0</v>
      </c>
      <c r="K318" s="26"/>
      <c r="L318" s="12"/>
      <c r="M318" s="15"/>
      <c r="N318" s="21"/>
      <c r="O318" s="21"/>
      <c r="P318" s="47"/>
      <c r="Q318" s="34"/>
      <c r="R318" s="27"/>
      <c r="S318" s="27"/>
    </row>
    <row r="319" spans="2:19" s="28" customFormat="1" ht="18.75">
      <c r="D319" s="26"/>
      <c r="E319" s="12"/>
      <c r="F319" s="142" t="s">
        <v>65</v>
      </c>
      <c r="G319" s="137">
        <v>31442.74</v>
      </c>
      <c r="H319" s="138">
        <v>53602.52</v>
      </c>
      <c r="I319" s="171"/>
      <c r="J319" s="139">
        <f t="shared" si="16"/>
        <v>-22159.779999999995</v>
      </c>
      <c r="K319" s="26"/>
      <c r="L319" s="12"/>
      <c r="M319" s="15"/>
      <c r="N319" s="21"/>
      <c r="O319" s="21"/>
      <c r="P319" s="47"/>
      <c r="Q319" s="34"/>
      <c r="R319" s="27"/>
      <c r="S319" s="27"/>
    </row>
    <row r="320" spans="2:19" s="28" customFormat="1" ht="18.75">
      <c r="D320" s="26"/>
      <c r="E320" s="12"/>
      <c r="F320" s="54" t="s">
        <v>66</v>
      </c>
      <c r="G320" s="51">
        <v>706.25</v>
      </c>
      <c r="H320" s="59">
        <v>706.25</v>
      </c>
      <c r="I320" s="171"/>
      <c r="J320" s="57">
        <f t="shared" si="16"/>
        <v>0</v>
      </c>
      <c r="K320" s="26"/>
      <c r="L320" s="12"/>
      <c r="M320" s="15"/>
      <c r="N320" s="21"/>
      <c r="O320" s="21"/>
      <c r="P320" s="47"/>
      <c r="Q320" s="34"/>
      <c r="R320" s="27"/>
      <c r="S320" s="27"/>
    </row>
    <row r="321" spans="2:19" s="28" customFormat="1" ht="18.75">
      <c r="D321" s="26"/>
      <c r="E321" s="12"/>
      <c r="F321" s="142" t="s">
        <v>136</v>
      </c>
      <c r="G321" s="137">
        <v>59090.25</v>
      </c>
      <c r="H321" s="138"/>
      <c r="I321" s="171"/>
      <c r="J321" s="139">
        <f t="shared" si="16"/>
        <v>59090.25</v>
      </c>
      <c r="K321" s="26"/>
      <c r="L321" s="12"/>
      <c r="M321" s="15"/>
      <c r="N321" s="21"/>
      <c r="O321" s="21"/>
      <c r="P321" s="47"/>
      <c r="Q321" s="34"/>
      <c r="R321" s="27"/>
      <c r="S321" s="27"/>
    </row>
    <row r="322" spans="2:19" s="28" customFormat="1" ht="18.75">
      <c r="D322" s="26"/>
      <c r="E322" s="12"/>
      <c r="F322" s="142" t="s">
        <v>67</v>
      </c>
      <c r="G322" s="137">
        <v>7337.25</v>
      </c>
      <c r="H322" s="138"/>
      <c r="I322" s="171"/>
      <c r="J322" s="139">
        <f t="shared" si="16"/>
        <v>7337.25</v>
      </c>
      <c r="K322" s="26"/>
      <c r="L322" s="12"/>
      <c r="M322" s="15"/>
      <c r="N322" s="21"/>
      <c r="O322" s="21"/>
      <c r="P322" s="47"/>
      <c r="Q322" s="34"/>
      <c r="R322" s="27"/>
      <c r="S322" s="27"/>
    </row>
    <row r="323" spans="2:19" s="28" customFormat="1" ht="18.75">
      <c r="D323" s="26"/>
      <c r="E323" s="12"/>
      <c r="F323" s="142" t="s">
        <v>107</v>
      </c>
      <c r="G323" s="137">
        <v>0</v>
      </c>
      <c r="H323" s="138">
        <v>298.60000000000002</v>
      </c>
      <c r="I323" s="171"/>
      <c r="J323" s="139">
        <f t="shared" si="16"/>
        <v>-298.60000000000002</v>
      </c>
      <c r="K323" s="26"/>
      <c r="L323" s="12"/>
      <c r="M323" s="15"/>
      <c r="N323" s="21"/>
      <c r="O323" s="21"/>
      <c r="P323" s="47"/>
      <c r="Q323" s="34"/>
      <c r="R323" s="27"/>
      <c r="S323" s="27"/>
    </row>
    <row r="324" spans="2:19" ht="18.75">
      <c r="B324" s="24"/>
      <c r="D324" s="11">
        <v>40</v>
      </c>
      <c r="E324" s="12" t="s">
        <v>52</v>
      </c>
      <c r="F324" s="54" t="s">
        <v>81</v>
      </c>
      <c r="G324" s="51">
        <v>91253.72</v>
      </c>
      <c r="H324" s="53">
        <v>91253.72</v>
      </c>
      <c r="I324" s="171"/>
      <c r="J324" s="57">
        <f t="shared" si="16"/>
        <v>0</v>
      </c>
      <c r="K324" s="11">
        <v>40</v>
      </c>
      <c r="L324" s="12" t="s">
        <v>52</v>
      </c>
      <c r="M324" s="64" t="s">
        <v>77</v>
      </c>
      <c r="N324" s="65">
        <v>4348.3999999999996</v>
      </c>
      <c r="O324" s="135">
        <v>0</v>
      </c>
      <c r="P324" s="67"/>
      <c r="Q324" s="69">
        <f>N324-O324</f>
        <v>4348.3999999999996</v>
      </c>
    </row>
    <row r="325" spans="2:19" ht="18.75">
      <c r="B325" s="24"/>
      <c r="D325" s="11"/>
      <c r="E325" s="12"/>
      <c r="F325" s="54" t="s">
        <v>92</v>
      </c>
      <c r="G325" s="51">
        <v>2309.58</v>
      </c>
      <c r="H325" s="53">
        <v>2309.58</v>
      </c>
      <c r="I325" s="171"/>
      <c r="J325" s="57">
        <f t="shared" si="16"/>
        <v>0</v>
      </c>
      <c r="K325" s="11"/>
      <c r="L325" s="12"/>
      <c r="M325" s="15"/>
      <c r="N325" s="21"/>
      <c r="O325" s="37"/>
      <c r="P325" s="47"/>
      <c r="Q325" s="34"/>
    </row>
    <row r="326" spans="2:19" ht="18.75">
      <c r="B326" s="24"/>
      <c r="D326" s="11"/>
      <c r="E326" s="12"/>
      <c r="F326" s="142" t="s">
        <v>73</v>
      </c>
      <c r="G326" s="137">
        <v>7738.91</v>
      </c>
      <c r="H326" s="140">
        <v>1927.29</v>
      </c>
      <c r="I326" s="171"/>
      <c r="J326" s="139">
        <f t="shared" si="16"/>
        <v>5811.62</v>
      </c>
      <c r="K326" s="11"/>
      <c r="L326" s="12"/>
      <c r="M326" s="15"/>
      <c r="N326" s="21"/>
      <c r="O326" s="37"/>
      <c r="P326" s="47"/>
      <c r="Q326" s="34"/>
    </row>
    <row r="327" spans="2:19" ht="18.75">
      <c r="B327" s="24"/>
      <c r="D327" s="11"/>
      <c r="E327" s="12"/>
      <c r="F327" s="54" t="s">
        <v>75</v>
      </c>
      <c r="G327" s="51">
        <v>4257.04</v>
      </c>
      <c r="H327" s="53">
        <v>4257.04</v>
      </c>
      <c r="I327" s="171"/>
      <c r="J327" s="57">
        <f t="shared" si="16"/>
        <v>0</v>
      </c>
      <c r="K327" s="11"/>
      <c r="L327" s="12"/>
      <c r="M327" s="15"/>
      <c r="N327" s="21"/>
      <c r="O327" s="37"/>
      <c r="P327" s="47"/>
      <c r="Q327" s="34"/>
    </row>
    <row r="328" spans="2:19" ht="18.75">
      <c r="B328" s="24"/>
      <c r="D328" s="11"/>
      <c r="E328" s="12"/>
      <c r="F328" s="54" t="s">
        <v>128</v>
      </c>
      <c r="G328" s="51">
        <v>11279.51</v>
      </c>
      <c r="H328" s="53">
        <v>11279.51</v>
      </c>
      <c r="I328" s="171"/>
      <c r="J328" s="57">
        <f t="shared" si="16"/>
        <v>0</v>
      </c>
      <c r="K328" s="11"/>
      <c r="L328" s="12"/>
      <c r="M328" s="15"/>
      <c r="N328" s="21"/>
      <c r="O328" s="37"/>
      <c r="P328" s="47"/>
      <c r="Q328" s="34"/>
    </row>
    <row r="329" spans="2:19" ht="18.75">
      <c r="B329" s="24"/>
      <c r="D329" s="11"/>
      <c r="E329" s="12"/>
      <c r="F329" s="54" t="s">
        <v>129</v>
      </c>
      <c r="G329" s="51">
        <v>10819.869999999999</v>
      </c>
      <c r="H329" s="53">
        <v>10819.869999999999</v>
      </c>
      <c r="I329" s="171"/>
      <c r="J329" s="57">
        <f t="shared" si="16"/>
        <v>0</v>
      </c>
      <c r="K329" s="11"/>
      <c r="L329" s="12"/>
      <c r="M329" s="15"/>
      <c r="N329" s="21"/>
      <c r="O329" s="37"/>
      <c r="P329" s="47"/>
      <c r="Q329" s="34"/>
    </row>
    <row r="330" spans="2:19" ht="18.75">
      <c r="B330" s="24"/>
      <c r="D330" s="11"/>
      <c r="E330" s="12"/>
      <c r="F330" s="142" t="s">
        <v>65</v>
      </c>
      <c r="G330" s="137">
        <v>36398.187999999995</v>
      </c>
      <c r="H330" s="140">
        <v>30341.599999999999</v>
      </c>
      <c r="I330" s="171"/>
      <c r="J330" s="139">
        <f t="shared" si="16"/>
        <v>6056.5879999999961</v>
      </c>
      <c r="K330" s="11"/>
      <c r="L330" s="12"/>
      <c r="M330" s="15"/>
      <c r="N330" s="21"/>
      <c r="O330" s="37"/>
      <c r="P330" s="47"/>
      <c r="Q330" s="34"/>
    </row>
    <row r="331" spans="2:19" ht="18.75">
      <c r="B331" s="24"/>
      <c r="D331" s="11"/>
      <c r="E331" s="12"/>
      <c r="F331" s="54" t="s">
        <v>25</v>
      </c>
      <c r="G331" s="51">
        <v>73658.400000000009</v>
      </c>
      <c r="H331" s="53">
        <v>73658.399999999994</v>
      </c>
      <c r="I331" s="171"/>
      <c r="J331" s="57">
        <f t="shared" si="16"/>
        <v>0</v>
      </c>
      <c r="K331" s="11"/>
      <c r="L331" s="12"/>
      <c r="M331" s="15"/>
      <c r="N331" s="21"/>
      <c r="O331" s="37"/>
      <c r="P331" s="47"/>
      <c r="Q331" s="34"/>
    </row>
    <row r="332" spans="2:19" ht="18.75">
      <c r="B332" s="24"/>
      <c r="D332" s="11"/>
      <c r="E332" s="12"/>
      <c r="F332" s="142" t="s">
        <v>76</v>
      </c>
      <c r="G332" s="137">
        <v>2156.0500000000002</v>
      </c>
      <c r="H332" s="140"/>
      <c r="I332" s="171"/>
      <c r="J332" s="139">
        <f t="shared" si="16"/>
        <v>2156.0500000000002</v>
      </c>
      <c r="K332" s="11"/>
      <c r="L332" s="12"/>
      <c r="M332" s="15"/>
      <c r="N332" s="21"/>
      <c r="O332" s="37"/>
      <c r="P332" s="47"/>
      <c r="Q332" s="34"/>
    </row>
    <row r="333" spans="2:19" ht="18.75">
      <c r="D333" s="11">
        <v>41</v>
      </c>
      <c r="E333" s="12" t="s">
        <v>19</v>
      </c>
      <c r="F333" s="142" t="s">
        <v>92</v>
      </c>
      <c r="G333" s="137">
        <v>205249.12</v>
      </c>
      <c r="H333" s="137">
        <v>231320.94</v>
      </c>
      <c r="I333" s="177"/>
      <c r="J333" s="139">
        <f t="shared" si="16"/>
        <v>-26071.820000000007</v>
      </c>
      <c r="K333" s="11">
        <v>41</v>
      </c>
      <c r="L333" s="12" t="s">
        <v>19</v>
      </c>
      <c r="M333" s="54" t="s">
        <v>87</v>
      </c>
      <c r="N333" s="51">
        <v>12844.92</v>
      </c>
      <c r="O333" s="53">
        <v>12844.92</v>
      </c>
      <c r="P333" s="56"/>
      <c r="Q333" s="52">
        <f t="shared" ref="Q333:Q346" si="18">N333-O333</f>
        <v>0</v>
      </c>
    </row>
    <row r="334" spans="2:19" ht="18.75">
      <c r="D334" s="11"/>
      <c r="E334" s="12"/>
      <c r="F334" s="54" t="s">
        <v>83</v>
      </c>
      <c r="G334" s="51">
        <f>54869.77+25360.59</f>
        <v>80230.36</v>
      </c>
      <c r="H334" s="51">
        <v>80230.36</v>
      </c>
      <c r="I334" s="177"/>
      <c r="J334" s="57">
        <f t="shared" si="16"/>
        <v>0</v>
      </c>
      <c r="K334" s="11"/>
      <c r="L334" s="12"/>
      <c r="M334" s="64" t="s">
        <v>91</v>
      </c>
      <c r="N334" s="65">
        <f>7009.81+3962.98+29385.16+20925.7</f>
        <v>61283.649999999994</v>
      </c>
      <c r="O334" s="66">
        <v>65111.12</v>
      </c>
      <c r="P334" s="67"/>
      <c r="Q334" s="69">
        <f t="shared" si="18"/>
        <v>-3827.4700000000084</v>
      </c>
    </row>
    <row r="335" spans="2:19" ht="18.75">
      <c r="D335" s="11"/>
      <c r="E335" s="12"/>
      <c r="F335" s="142" t="s">
        <v>14</v>
      </c>
      <c r="G335" s="137">
        <v>50234.229999999996</v>
      </c>
      <c r="H335" s="137">
        <v>50294.43</v>
      </c>
      <c r="I335" s="171"/>
      <c r="J335" s="139">
        <f t="shared" si="16"/>
        <v>-60.200000000004366</v>
      </c>
      <c r="K335" s="11"/>
      <c r="L335" s="12"/>
      <c r="M335" s="64" t="s">
        <v>95</v>
      </c>
      <c r="N335" s="65">
        <f>1418.36+11426.56+2340.18</f>
        <v>15185.1</v>
      </c>
      <c r="O335" s="66">
        <v>22411.440000000002</v>
      </c>
      <c r="P335" s="67"/>
      <c r="Q335" s="69">
        <f t="shared" si="18"/>
        <v>-7226.340000000002</v>
      </c>
    </row>
    <row r="336" spans="2:19" ht="18.75">
      <c r="D336" s="11"/>
      <c r="E336" s="12"/>
      <c r="F336" s="54" t="s">
        <v>25</v>
      </c>
      <c r="G336" s="51">
        <f>4365.44+25648.74+12546.8+9790.97</f>
        <v>52351.95</v>
      </c>
      <c r="H336" s="51">
        <v>52351.95</v>
      </c>
      <c r="I336" s="177"/>
      <c r="J336" s="57">
        <f t="shared" si="16"/>
        <v>0</v>
      </c>
      <c r="K336" s="11"/>
      <c r="L336" s="12"/>
      <c r="M336" s="165" t="s">
        <v>118</v>
      </c>
      <c r="N336" s="66">
        <v>0</v>
      </c>
      <c r="O336" s="66">
        <v>4569.2691500000001</v>
      </c>
      <c r="P336" s="47">
        <f>N333+N334+N335</f>
        <v>89313.67</v>
      </c>
      <c r="Q336" s="34"/>
    </row>
    <row r="337" spans="4:17" ht="18.75">
      <c r="D337" s="11"/>
      <c r="E337" s="12"/>
      <c r="F337" s="142" t="s">
        <v>16</v>
      </c>
      <c r="G337" s="137">
        <f>59532.49+936.92</f>
        <v>60469.409999999996</v>
      </c>
      <c r="H337" s="137">
        <v>0</v>
      </c>
      <c r="I337" s="177"/>
      <c r="J337" s="139">
        <f t="shared" si="16"/>
        <v>60469.409999999996</v>
      </c>
      <c r="K337" s="11"/>
      <c r="L337" s="12"/>
      <c r="M337" s="15"/>
      <c r="N337" s="21"/>
      <c r="O337" s="16"/>
      <c r="P337" s="47"/>
      <c r="Q337" s="34"/>
    </row>
    <row r="338" spans="4:17" ht="18.75">
      <c r="D338" s="11"/>
      <c r="E338" s="12"/>
      <c r="F338" s="142" t="s">
        <v>26</v>
      </c>
      <c r="G338" s="137">
        <v>51550.49</v>
      </c>
      <c r="H338" s="137">
        <v>0</v>
      </c>
      <c r="I338" s="171"/>
      <c r="J338" s="139">
        <f t="shared" si="16"/>
        <v>51550.49</v>
      </c>
      <c r="K338" s="11"/>
      <c r="L338" s="12"/>
      <c r="M338" s="15"/>
      <c r="N338" s="21"/>
      <c r="O338" s="16"/>
      <c r="P338" s="47"/>
      <c r="Q338" s="34"/>
    </row>
    <row r="339" spans="4:17" ht="18.75">
      <c r="D339" s="11">
        <v>42</v>
      </c>
      <c r="E339" s="12" t="s">
        <v>53</v>
      </c>
      <c r="F339" s="54" t="s">
        <v>74</v>
      </c>
      <c r="G339" s="92">
        <v>7752.86</v>
      </c>
      <c r="H339" s="51">
        <v>7752.86</v>
      </c>
      <c r="I339" s="171"/>
      <c r="J339" s="57">
        <f t="shared" si="16"/>
        <v>0</v>
      </c>
      <c r="K339" s="11">
        <v>42</v>
      </c>
      <c r="L339" s="12" t="s">
        <v>53</v>
      </c>
      <c r="M339" s="54" t="s">
        <v>87</v>
      </c>
      <c r="N339" s="51">
        <v>57221.43</v>
      </c>
      <c r="O339" s="51">
        <v>57220.429999999993</v>
      </c>
      <c r="P339" s="67"/>
      <c r="Q339" s="69">
        <f t="shared" si="18"/>
        <v>1.000000000007276</v>
      </c>
    </row>
    <row r="340" spans="4:17" ht="18.75">
      <c r="D340" s="11"/>
      <c r="E340" s="12"/>
      <c r="F340" s="15"/>
      <c r="G340" s="21"/>
      <c r="H340" s="21"/>
      <c r="I340" s="171"/>
      <c r="J340" s="22"/>
      <c r="K340" s="11"/>
      <c r="L340" s="12"/>
      <c r="M340" s="54" t="s">
        <v>90</v>
      </c>
      <c r="N340" s="51">
        <v>102318.85</v>
      </c>
      <c r="O340" s="51">
        <v>104813.85</v>
      </c>
      <c r="P340" s="67"/>
      <c r="Q340" s="69">
        <f t="shared" si="18"/>
        <v>-2495</v>
      </c>
    </row>
    <row r="341" spans="4:17" ht="18.75">
      <c r="D341" s="11"/>
      <c r="E341" s="12"/>
      <c r="F341" s="15"/>
      <c r="G341" s="21"/>
      <c r="H341" s="21"/>
      <c r="I341" s="171"/>
      <c r="J341" s="22"/>
      <c r="K341" s="11"/>
      <c r="L341" s="12"/>
      <c r="M341" s="54" t="s">
        <v>91</v>
      </c>
      <c r="N341" s="51">
        <v>15849.59</v>
      </c>
      <c r="O341" s="51">
        <v>15849.62</v>
      </c>
      <c r="P341" s="67"/>
      <c r="Q341" s="69">
        <f t="shared" si="18"/>
        <v>-3.0000000000654836E-2</v>
      </c>
    </row>
    <row r="342" spans="4:17" ht="18.75">
      <c r="D342" s="11"/>
      <c r="E342" s="12"/>
      <c r="F342" s="15"/>
      <c r="G342" s="21"/>
      <c r="H342" s="21"/>
      <c r="I342" s="171"/>
      <c r="J342" s="22"/>
      <c r="K342" s="11"/>
      <c r="L342" s="12"/>
      <c r="M342" s="54" t="s">
        <v>95</v>
      </c>
      <c r="N342" s="51">
        <v>10787.1</v>
      </c>
      <c r="O342" s="51">
        <v>10787.099999999999</v>
      </c>
      <c r="P342" s="56"/>
      <c r="Q342" s="52">
        <f t="shared" si="18"/>
        <v>0</v>
      </c>
    </row>
    <row r="343" spans="4:17" ht="18.75">
      <c r="D343" s="11"/>
      <c r="E343" s="12"/>
      <c r="F343" s="15"/>
      <c r="G343" s="21"/>
      <c r="H343" s="21"/>
      <c r="I343" s="171"/>
      <c r="J343" s="22"/>
      <c r="K343" s="11"/>
      <c r="L343" s="12"/>
      <c r="M343" s="54" t="s">
        <v>104</v>
      </c>
      <c r="N343" s="51">
        <v>26063.759999999998</v>
      </c>
      <c r="O343" s="51">
        <v>26063.759999999998</v>
      </c>
      <c r="P343" s="67"/>
      <c r="Q343" s="69">
        <f t="shared" si="18"/>
        <v>0</v>
      </c>
    </row>
    <row r="344" spans="4:17" ht="18.75">
      <c r="D344" s="11"/>
      <c r="E344" s="12"/>
      <c r="F344" s="15"/>
      <c r="G344" s="21"/>
      <c r="H344" s="21"/>
      <c r="I344" s="171"/>
      <c r="J344" s="22"/>
      <c r="K344" s="11"/>
      <c r="L344" s="12"/>
      <c r="M344" s="54" t="s">
        <v>112</v>
      </c>
      <c r="N344" s="51">
        <v>25432.75</v>
      </c>
      <c r="O344" s="65">
        <v>15558.32</v>
      </c>
      <c r="P344" s="67"/>
      <c r="Q344" s="69">
        <f t="shared" si="18"/>
        <v>9874.43</v>
      </c>
    </row>
    <row r="345" spans="4:17" ht="18.75">
      <c r="D345" s="11"/>
      <c r="E345" s="12"/>
      <c r="F345" s="15"/>
      <c r="G345" s="21"/>
      <c r="H345" s="21"/>
      <c r="I345" s="171"/>
      <c r="J345" s="22"/>
      <c r="K345" s="11"/>
      <c r="L345" s="12"/>
      <c r="M345" s="54" t="s">
        <v>115</v>
      </c>
      <c r="N345" s="51">
        <v>40452.050000000003</v>
      </c>
      <c r="O345" s="51">
        <v>40452.050000000003</v>
      </c>
      <c r="P345" s="67"/>
      <c r="Q345" s="69">
        <f t="shared" si="18"/>
        <v>0</v>
      </c>
    </row>
    <row r="346" spans="4:17" ht="18.75">
      <c r="D346" s="11"/>
      <c r="E346" s="12"/>
      <c r="F346" s="15"/>
      <c r="G346" s="21"/>
      <c r="H346" s="21"/>
      <c r="I346" s="171"/>
      <c r="J346" s="22"/>
      <c r="K346" s="11"/>
      <c r="L346" s="12"/>
      <c r="M346" s="54" t="s">
        <v>137</v>
      </c>
      <c r="N346" s="51">
        <v>322.52999999999997</v>
      </c>
      <c r="O346" s="65">
        <v>0</v>
      </c>
      <c r="P346" s="47">
        <f>SUM(N339:N346)</f>
        <v>278448.06000000006</v>
      </c>
      <c r="Q346" s="69">
        <f t="shared" si="18"/>
        <v>322.52999999999997</v>
      </c>
    </row>
    <row r="347" spans="4:17" ht="18.75">
      <c r="D347" s="11">
        <v>43</v>
      </c>
      <c r="E347" s="12" t="s">
        <v>54</v>
      </c>
      <c r="F347" s="142" t="s">
        <v>53</v>
      </c>
      <c r="G347" s="137">
        <v>104813.85</v>
      </c>
      <c r="H347" s="140">
        <v>102318.85</v>
      </c>
      <c r="I347" s="171"/>
      <c r="J347" s="68">
        <f>G347-H347</f>
        <v>2495</v>
      </c>
      <c r="K347" s="11">
        <v>43</v>
      </c>
      <c r="L347" s="12" t="s">
        <v>54</v>
      </c>
      <c r="M347" s="2"/>
      <c r="N347" s="21"/>
      <c r="O347" s="2"/>
      <c r="P347" s="31"/>
      <c r="Q347" s="34"/>
    </row>
    <row r="348" spans="4:17" ht="18.75">
      <c r="D348" s="11"/>
      <c r="E348" s="12"/>
      <c r="F348" s="54" t="s">
        <v>12</v>
      </c>
      <c r="G348" s="51">
        <v>27908.25</v>
      </c>
      <c r="H348" s="53">
        <v>27908.25</v>
      </c>
      <c r="I348" s="171"/>
      <c r="J348" s="57">
        <f>G348-H348</f>
        <v>0</v>
      </c>
      <c r="K348" s="11"/>
      <c r="L348" s="12"/>
      <c r="M348" s="2"/>
      <c r="N348" s="21"/>
      <c r="O348" s="2"/>
      <c r="P348" s="31"/>
      <c r="Q348" s="34"/>
    </row>
    <row r="349" spans="4:17" ht="18.75">
      <c r="D349" s="11"/>
      <c r="E349" s="12"/>
      <c r="F349" s="54" t="s">
        <v>16</v>
      </c>
      <c r="G349" s="51">
        <v>5625.2300000000005</v>
      </c>
      <c r="H349" s="53">
        <v>5625.23</v>
      </c>
      <c r="I349" s="171"/>
      <c r="J349" s="57">
        <f>G349-H349</f>
        <v>0</v>
      </c>
      <c r="K349" s="11"/>
      <c r="L349" s="12"/>
      <c r="M349" s="2"/>
      <c r="N349" s="21"/>
      <c r="O349" s="2"/>
      <c r="P349" s="31"/>
      <c r="Q349" s="34"/>
    </row>
    <row r="350" spans="4:17" ht="18.75">
      <c r="D350" s="11"/>
      <c r="E350" s="12"/>
      <c r="F350" s="15"/>
      <c r="G350" s="21"/>
      <c r="H350" s="16"/>
      <c r="I350" s="171"/>
      <c r="J350" s="22"/>
      <c r="K350" s="11"/>
      <c r="L350" s="12"/>
      <c r="M350" s="2"/>
      <c r="N350" s="21"/>
      <c r="O350" s="2"/>
      <c r="P350" s="31"/>
      <c r="Q350" s="34"/>
    </row>
    <row r="351" spans="4:17" ht="18.75">
      <c r="D351" s="11">
        <v>44</v>
      </c>
      <c r="E351" s="12" t="s">
        <v>22</v>
      </c>
      <c r="F351" s="54" t="s">
        <v>85</v>
      </c>
      <c r="G351" s="51">
        <v>37991.64</v>
      </c>
      <c r="H351" s="59">
        <v>37991.64</v>
      </c>
      <c r="I351" s="171"/>
      <c r="J351" s="57">
        <f t="shared" ref="J351:J362" si="19">G351-H351</f>
        <v>0</v>
      </c>
      <c r="K351" s="11">
        <v>44</v>
      </c>
      <c r="L351" s="12" t="s">
        <v>22</v>
      </c>
      <c r="M351" s="2"/>
      <c r="N351" s="2"/>
      <c r="O351" s="21"/>
      <c r="P351" s="47"/>
      <c r="Q351" s="34"/>
    </row>
    <row r="352" spans="4:17" ht="18.75">
      <c r="D352" s="11"/>
      <c r="E352" s="12"/>
      <c r="F352" s="54" t="s">
        <v>25</v>
      </c>
      <c r="G352" s="51">
        <v>41818.94</v>
      </c>
      <c r="H352" s="59">
        <v>41818.94</v>
      </c>
      <c r="I352" s="171"/>
      <c r="J352" s="57">
        <f t="shared" si="19"/>
        <v>0</v>
      </c>
      <c r="K352" s="11"/>
      <c r="L352" s="12"/>
      <c r="M352" s="2"/>
      <c r="N352" s="2"/>
      <c r="O352" s="21"/>
      <c r="P352" s="47"/>
      <c r="Q352" s="34"/>
    </row>
    <row r="353" spans="4:17" ht="18.75">
      <c r="D353" s="11"/>
      <c r="E353" s="12"/>
      <c r="F353" s="54" t="s">
        <v>19</v>
      </c>
      <c r="G353" s="51">
        <v>12844.92</v>
      </c>
      <c r="H353" s="59">
        <v>12844.92</v>
      </c>
      <c r="I353" s="171"/>
      <c r="J353" s="57">
        <f t="shared" si="19"/>
        <v>0</v>
      </c>
      <c r="K353" s="11"/>
      <c r="L353" s="12"/>
      <c r="M353" s="2"/>
      <c r="N353" s="2"/>
      <c r="O353" s="21"/>
      <c r="P353" s="47"/>
      <c r="Q353" s="34"/>
    </row>
    <row r="354" spans="4:17" ht="18.75">
      <c r="D354" s="11"/>
      <c r="E354" s="12"/>
      <c r="F354" s="142" t="s">
        <v>53</v>
      </c>
      <c r="G354" s="137">
        <v>57220.429999999993</v>
      </c>
      <c r="H354" s="138">
        <v>57221.43</v>
      </c>
      <c r="I354" s="171"/>
      <c r="J354" s="68">
        <f t="shared" si="19"/>
        <v>-1.000000000007276</v>
      </c>
      <c r="K354" s="11"/>
      <c r="L354" s="12"/>
      <c r="M354" s="2"/>
      <c r="N354" s="2"/>
      <c r="O354" s="21"/>
      <c r="P354" s="47"/>
      <c r="Q354" s="34"/>
    </row>
    <row r="355" spans="4:17" ht="18.75">
      <c r="D355" s="11"/>
      <c r="E355" s="12"/>
      <c r="F355" s="54" t="s">
        <v>92</v>
      </c>
      <c r="G355" s="51">
        <v>77482.649999999994</v>
      </c>
      <c r="H355" s="59">
        <v>77482.649999999994</v>
      </c>
      <c r="I355" s="171"/>
      <c r="J355" s="57">
        <f t="shared" si="19"/>
        <v>0</v>
      </c>
      <c r="K355" s="11"/>
      <c r="L355" s="12"/>
      <c r="M355" s="2"/>
      <c r="N355" s="2"/>
      <c r="O355" s="21"/>
      <c r="P355" s="47"/>
      <c r="Q355" s="34"/>
    </row>
    <row r="356" spans="4:17" ht="18.75">
      <c r="D356" s="11"/>
      <c r="E356" s="12"/>
      <c r="F356" s="142" t="s">
        <v>26</v>
      </c>
      <c r="G356" s="137">
        <v>24779.14</v>
      </c>
      <c r="H356" s="138"/>
      <c r="I356" s="171"/>
      <c r="J356" s="139">
        <f t="shared" si="19"/>
        <v>24779.14</v>
      </c>
      <c r="K356" s="11"/>
      <c r="L356" s="12"/>
      <c r="M356" s="2"/>
      <c r="N356" s="2"/>
      <c r="O356" s="21"/>
      <c r="P356" s="47"/>
      <c r="Q356" s="34"/>
    </row>
    <row r="357" spans="4:17" ht="18.75">
      <c r="D357" s="11"/>
      <c r="E357" s="12"/>
      <c r="F357" s="142" t="s">
        <v>66</v>
      </c>
      <c r="G357" s="137">
        <v>2235.65</v>
      </c>
      <c r="H357" s="59">
        <v>2235.62</v>
      </c>
      <c r="I357" s="171"/>
      <c r="J357" s="179">
        <f t="shared" si="19"/>
        <v>3.0000000000200089E-2</v>
      </c>
      <c r="K357" s="11"/>
      <c r="L357" s="12"/>
      <c r="M357" s="2"/>
      <c r="N357" s="2"/>
      <c r="O357" s="21"/>
      <c r="P357" s="47"/>
      <c r="Q357" s="34"/>
    </row>
    <row r="358" spans="4:17" ht="18.75">
      <c r="D358" s="11"/>
      <c r="E358" s="12"/>
      <c r="F358" s="54" t="s">
        <v>86</v>
      </c>
      <c r="G358" s="51">
        <v>4606.6099999999997</v>
      </c>
      <c r="H358" s="59">
        <v>4606.6099999999997</v>
      </c>
      <c r="I358" s="171"/>
      <c r="J358" s="57">
        <f t="shared" si="19"/>
        <v>0</v>
      </c>
      <c r="K358" s="11"/>
      <c r="L358" s="12"/>
      <c r="M358" s="2"/>
      <c r="N358" s="2"/>
      <c r="O358" s="21"/>
      <c r="P358" s="47"/>
      <c r="Q358" s="34"/>
    </row>
    <row r="359" spans="4:17" ht="18.75">
      <c r="D359" s="11"/>
      <c r="E359" s="12"/>
      <c r="F359" s="142" t="s">
        <v>79</v>
      </c>
      <c r="G359" s="137">
        <v>1078.5</v>
      </c>
      <c r="H359" s="138">
        <v>0</v>
      </c>
      <c r="I359" s="171"/>
      <c r="J359" s="139">
        <f t="shared" si="19"/>
        <v>1078.5</v>
      </c>
      <c r="K359" s="11"/>
      <c r="L359" s="12"/>
      <c r="M359" s="2"/>
      <c r="N359" s="2"/>
      <c r="O359" s="21"/>
      <c r="P359" s="47"/>
      <c r="Q359" s="34"/>
    </row>
    <row r="360" spans="4:17" ht="18.75">
      <c r="D360" s="11"/>
      <c r="E360" s="12"/>
      <c r="F360" s="15"/>
      <c r="G360" s="21"/>
      <c r="H360" s="29"/>
      <c r="I360" s="171"/>
      <c r="J360" s="22"/>
      <c r="K360" s="11"/>
      <c r="L360" s="12"/>
      <c r="M360" s="2"/>
      <c r="N360" s="2"/>
      <c r="O360" s="21"/>
      <c r="P360" s="47"/>
      <c r="Q360" s="34"/>
    </row>
    <row r="361" spans="4:17" ht="18.75">
      <c r="D361" s="11">
        <v>45</v>
      </c>
      <c r="E361" s="12" t="s">
        <v>55</v>
      </c>
      <c r="F361" s="142" t="s">
        <v>83</v>
      </c>
      <c r="G361" s="137">
        <v>41009.449999999997</v>
      </c>
      <c r="H361" s="137">
        <v>37875.629999999997</v>
      </c>
      <c r="I361" s="171"/>
      <c r="J361" s="139">
        <f t="shared" si="19"/>
        <v>3133.8199999999997</v>
      </c>
      <c r="K361" s="11">
        <v>45</v>
      </c>
      <c r="L361" s="12" t="s">
        <v>55</v>
      </c>
      <c r="M361" s="15"/>
      <c r="N361" s="21"/>
      <c r="O361" s="21"/>
      <c r="P361" s="47"/>
      <c r="Q361" s="34"/>
    </row>
    <row r="362" spans="4:17" ht="18.75">
      <c r="D362" s="11"/>
      <c r="E362" s="12"/>
      <c r="F362" s="54" t="s">
        <v>75</v>
      </c>
      <c r="G362" s="51">
        <v>19740.150000000001</v>
      </c>
      <c r="H362" s="51">
        <v>19740.150000000001</v>
      </c>
      <c r="I362" s="171"/>
      <c r="J362" s="57">
        <f t="shared" si="19"/>
        <v>0</v>
      </c>
      <c r="K362" s="11"/>
      <c r="L362" s="12"/>
      <c r="M362" s="15"/>
      <c r="N362" s="21"/>
      <c r="O362" s="21"/>
      <c r="P362" s="47"/>
      <c r="Q362" s="34"/>
    </row>
    <row r="363" spans="4:17" ht="18.75">
      <c r="D363" s="11">
        <v>46</v>
      </c>
      <c r="E363" s="12" t="s">
        <v>18</v>
      </c>
      <c r="F363" s="54" t="s">
        <v>83</v>
      </c>
      <c r="G363" s="51">
        <v>3182.88</v>
      </c>
      <c r="H363" s="51">
        <v>3182.88</v>
      </c>
      <c r="I363" s="171"/>
      <c r="J363" s="57">
        <f t="shared" ref="J363:J373" si="20">G363-H363</f>
        <v>0</v>
      </c>
      <c r="K363" s="11">
        <v>46</v>
      </c>
      <c r="L363" s="12" t="s">
        <v>18</v>
      </c>
      <c r="M363" s="15"/>
      <c r="N363" s="21"/>
      <c r="O363" s="21"/>
      <c r="P363" s="47"/>
      <c r="Q363" s="34"/>
    </row>
    <row r="364" spans="4:17" ht="18.75">
      <c r="D364" s="11"/>
      <c r="E364" s="12"/>
      <c r="F364" s="54" t="s">
        <v>93</v>
      </c>
      <c r="G364" s="51">
        <v>40452.050000000003</v>
      </c>
      <c r="H364" s="51">
        <v>40452.050000000003</v>
      </c>
      <c r="I364" s="175"/>
      <c r="J364" s="68">
        <f>G364-H364</f>
        <v>0</v>
      </c>
      <c r="K364" s="11"/>
      <c r="L364" s="12"/>
      <c r="M364" s="15"/>
      <c r="N364" s="21"/>
      <c r="O364" s="21"/>
      <c r="P364" s="47"/>
      <c r="Q364" s="34"/>
    </row>
    <row r="365" spans="4:17" ht="18.75">
      <c r="D365" s="11">
        <v>47</v>
      </c>
      <c r="E365" s="12" t="s">
        <v>56</v>
      </c>
      <c r="F365" s="54" t="s">
        <v>74</v>
      </c>
      <c r="G365" s="51">
        <v>26437.08</v>
      </c>
      <c r="H365" s="51">
        <v>26437.08</v>
      </c>
      <c r="I365" s="171"/>
      <c r="J365" s="57">
        <f t="shared" si="20"/>
        <v>0</v>
      </c>
      <c r="K365" s="11">
        <v>47</v>
      </c>
      <c r="L365" s="12" t="s">
        <v>56</v>
      </c>
      <c r="M365" s="54"/>
      <c r="N365" s="21"/>
      <c r="O365" s="21"/>
      <c r="P365" s="47"/>
      <c r="Q365" s="34"/>
    </row>
    <row r="366" spans="4:17" ht="18.75">
      <c r="D366" s="11"/>
      <c r="E366" s="12"/>
      <c r="F366" s="54" t="s">
        <v>79</v>
      </c>
      <c r="G366" s="51">
        <v>25170.880000000001</v>
      </c>
      <c r="H366" s="51">
        <v>25170.880000000001</v>
      </c>
      <c r="I366" s="171"/>
      <c r="J366" s="57">
        <f t="shared" si="20"/>
        <v>0</v>
      </c>
      <c r="K366" s="11"/>
      <c r="L366" s="12"/>
      <c r="M366" s="15"/>
      <c r="N366" s="21"/>
      <c r="O366" s="21"/>
      <c r="P366" s="47"/>
      <c r="Q366" s="34"/>
    </row>
    <row r="367" spans="4:17" ht="18.75">
      <c r="D367" s="11"/>
      <c r="E367" s="12"/>
      <c r="F367" s="54" t="s">
        <v>77</v>
      </c>
      <c r="G367" s="51">
        <v>15044.25</v>
      </c>
      <c r="H367" s="51">
        <v>15044.25</v>
      </c>
      <c r="I367" s="171"/>
      <c r="J367" s="57">
        <f t="shared" si="20"/>
        <v>0</v>
      </c>
      <c r="K367" s="11"/>
      <c r="L367" s="12"/>
      <c r="M367" s="15"/>
      <c r="N367" s="21"/>
      <c r="O367" s="21"/>
      <c r="P367" s="47"/>
      <c r="Q367" s="34"/>
    </row>
    <row r="368" spans="4:17" ht="18.75">
      <c r="D368" s="11"/>
      <c r="E368" s="12"/>
      <c r="F368" s="54" t="s">
        <v>92</v>
      </c>
      <c r="G368" s="51">
        <v>17076.03</v>
      </c>
      <c r="H368" s="51">
        <v>17076.03</v>
      </c>
      <c r="I368" s="171"/>
      <c r="J368" s="57">
        <f t="shared" si="20"/>
        <v>0</v>
      </c>
      <c r="K368" s="11"/>
      <c r="L368" s="160"/>
      <c r="M368" s="15"/>
      <c r="N368" s="21"/>
      <c r="O368" s="21"/>
      <c r="P368" s="47"/>
      <c r="Q368" s="34"/>
    </row>
    <row r="369" spans="4:17" ht="18.75">
      <c r="D369" s="11"/>
      <c r="E369" s="12"/>
      <c r="F369" s="54" t="s">
        <v>83</v>
      </c>
      <c r="G369" s="51">
        <v>73967.77</v>
      </c>
      <c r="H369" s="51">
        <v>73967.77</v>
      </c>
      <c r="I369" s="171"/>
      <c r="J369" s="57">
        <f t="shared" si="20"/>
        <v>0</v>
      </c>
      <c r="K369" s="11"/>
      <c r="L369" s="12"/>
      <c r="M369" s="15"/>
      <c r="N369" s="21"/>
      <c r="O369" s="21"/>
      <c r="P369" s="47"/>
      <c r="Q369" s="34"/>
    </row>
    <row r="370" spans="4:17" ht="18.75">
      <c r="D370" s="11"/>
      <c r="E370" s="12"/>
      <c r="F370" s="54" t="s">
        <v>93</v>
      </c>
      <c r="G370" s="51">
        <v>10787.099999999999</v>
      </c>
      <c r="H370" s="51">
        <v>10787.1</v>
      </c>
      <c r="I370" s="56"/>
      <c r="J370" s="57">
        <f t="shared" si="20"/>
        <v>0</v>
      </c>
      <c r="K370" s="11"/>
      <c r="L370" s="12"/>
      <c r="M370" s="15"/>
      <c r="N370" s="21"/>
      <c r="O370" s="21"/>
      <c r="P370" s="47"/>
      <c r="Q370" s="34"/>
    </row>
    <row r="371" spans="4:17" ht="18.75">
      <c r="D371" s="11"/>
      <c r="E371" s="12"/>
      <c r="F371" s="54" t="s">
        <v>76</v>
      </c>
      <c r="G371" s="51">
        <v>40434.490000000005</v>
      </c>
      <c r="H371" s="137">
        <v>0</v>
      </c>
      <c r="I371" s="171"/>
      <c r="J371" s="139">
        <f t="shared" si="20"/>
        <v>40434.490000000005</v>
      </c>
      <c r="K371" s="11"/>
      <c r="L371" s="12"/>
      <c r="M371" s="15"/>
      <c r="N371" s="21"/>
      <c r="O371" s="21"/>
      <c r="P371" s="47"/>
      <c r="Q371" s="34"/>
    </row>
    <row r="372" spans="4:17" ht="18.75">
      <c r="D372" s="11"/>
      <c r="E372" s="12"/>
      <c r="F372" s="54" t="s">
        <v>73</v>
      </c>
      <c r="G372" s="51">
        <v>11738.03</v>
      </c>
      <c r="H372" s="51">
        <v>11738.03</v>
      </c>
      <c r="I372" s="171"/>
      <c r="J372" s="57">
        <f t="shared" si="20"/>
        <v>0</v>
      </c>
      <c r="K372" s="11"/>
      <c r="L372" s="12"/>
      <c r="M372" s="15"/>
      <c r="N372" s="21"/>
      <c r="O372" s="21"/>
      <c r="P372" s="47"/>
      <c r="Q372" s="34"/>
    </row>
    <row r="373" spans="4:17" ht="18.75">
      <c r="D373" s="11"/>
      <c r="E373" s="12"/>
      <c r="F373" s="54" t="s">
        <v>94</v>
      </c>
      <c r="G373" s="51">
        <f>15185.1+7226.34</f>
        <v>22411.440000000002</v>
      </c>
      <c r="H373" s="51">
        <v>15185.1</v>
      </c>
      <c r="I373" s="171"/>
      <c r="J373" s="139">
        <f t="shared" si="20"/>
        <v>7226.340000000002</v>
      </c>
      <c r="K373" s="11"/>
      <c r="L373" s="12"/>
      <c r="M373" s="15"/>
      <c r="N373" s="21"/>
      <c r="O373" s="21"/>
      <c r="P373" s="47"/>
      <c r="Q373" s="34"/>
    </row>
    <row r="374" spans="4:17" ht="18.75">
      <c r="D374" s="11"/>
      <c r="E374" s="12"/>
      <c r="F374" s="152"/>
      <c r="G374" s="166"/>
      <c r="H374" s="21"/>
      <c r="I374" s="171"/>
      <c r="J374" s="22"/>
      <c r="K374" s="11"/>
      <c r="L374" s="12"/>
      <c r="M374" s="15"/>
      <c r="N374" s="21"/>
      <c r="O374" s="21"/>
      <c r="P374" s="47"/>
      <c r="Q374" s="34"/>
    </row>
    <row r="375" spans="4:17" ht="18.75">
      <c r="D375" s="11">
        <v>48</v>
      </c>
      <c r="E375" s="12" t="s">
        <v>57</v>
      </c>
      <c r="F375" s="54" t="s">
        <v>14</v>
      </c>
      <c r="G375" s="51">
        <v>9986.4</v>
      </c>
      <c r="H375" s="51">
        <f xml:space="preserve"> 1419.91+8566.49</f>
        <v>9986.4</v>
      </c>
      <c r="I375" s="171"/>
      <c r="J375" s="57">
        <f>G375-H375</f>
        <v>0</v>
      </c>
      <c r="K375" s="11">
        <v>48</v>
      </c>
      <c r="L375" s="12" t="s">
        <v>57</v>
      </c>
      <c r="M375" s="15" t="s">
        <v>68</v>
      </c>
      <c r="N375" s="21"/>
      <c r="O375" s="21">
        <v>7337.25</v>
      </c>
      <c r="P375" s="47"/>
      <c r="Q375" s="34">
        <f>N375-O375</f>
        <v>-7337.25</v>
      </c>
    </row>
    <row r="376" spans="4:17" ht="18.75">
      <c r="D376" s="11"/>
      <c r="E376" s="48"/>
      <c r="F376" s="152" t="s">
        <v>19</v>
      </c>
      <c r="G376" s="143">
        <v>65111.12</v>
      </c>
      <c r="H376" s="137">
        <v>61283.649999999994</v>
      </c>
      <c r="I376" s="171"/>
      <c r="J376" s="139">
        <f>G376-H376</f>
        <v>3827.4700000000084</v>
      </c>
      <c r="K376" s="11"/>
      <c r="L376" s="48"/>
      <c r="M376" s="15"/>
      <c r="N376" s="21"/>
      <c r="O376" s="21"/>
      <c r="P376" s="47"/>
      <c r="Q376" s="34"/>
    </row>
    <row r="377" spans="4:17" ht="18.75">
      <c r="D377" s="11"/>
      <c r="E377" s="48"/>
      <c r="F377" s="54" t="s">
        <v>53</v>
      </c>
      <c r="G377" s="94">
        <v>15849.619999999999</v>
      </c>
      <c r="H377" s="51">
        <v>15849.59</v>
      </c>
      <c r="I377" s="171"/>
      <c r="J377" s="68">
        <f>G377-H377</f>
        <v>2.9999999998835847E-2</v>
      </c>
      <c r="K377" s="11"/>
      <c r="L377" s="48"/>
      <c r="M377" s="15"/>
      <c r="N377" s="21"/>
      <c r="O377" s="21"/>
      <c r="P377" s="47"/>
      <c r="Q377" s="34"/>
    </row>
    <row r="378" spans="4:17" ht="18.75">
      <c r="D378" s="11"/>
      <c r="E378" s="48"/>
      <c r="F378" s="152" t="s">
        <v>24</v>
      </c>
      <c r="G378" s="143">
        <v>4705.9799999999996</v>
      </c>
      <c r="H378" s="137">
        <v>0</v>
      </c>
      <c r="I378" s="171"/>
      <c r="J378" s="139">
        <f>G378-H378</f>
        <v>4705.9799999999996</v>
      </c>
      <c r="K378" s="11"/>
      <c r="L378" s="48"/>
      <c r="M378" s="15"/>
      <c r="N378" s="21"/>
      <c r="O378" s="21"/>
      <c r="P378" s="47"/>
      <c r="Q378" s="34"/>
    </row>
    <row r="379" spans="4:17" ht="18.75">
      <c r="D379" s="11"/>
      <c r="E379" s="48"/>
      <c r="F379" s="15"/>
      <c r="G379" s="49"/>
      <c r="H379" s="21"/>
      <c r="I379" s="171"/>
      <c r="J379" s="22"/>
      <c r="K379" s="11"/>
      <c r="L379" s="48"/>
      <c r="M379" s="15"/>
      <c r="N379" s="21"/>
      <c r="O379" s="21"/>
      <c r="P379" s="47"/>
      <c r="Q379" s="34"/>
    </row>
    <row r="380" spans="4:17" ht="18.75">
      <c r="D380" s="11"/>
      <c r="E380" s="18" t="s">
        <v>7</v>
      </c>
      <c r="F380" s="15"/>
      <c r="H380" s="21"/>
      <c r="I380" s="17"/>
      <c r="J380" s="22"/>
      <c r="K380" s="11"/>
      <c r="L380" s="18" t="s">
        <v>7</v>
      </c>
      <c r="M380" s="15"/>
      <c r="N380" s="17"/>
      <c r="O380" s="21"/>
      <c r="P380" s="17"/>
      <c r="Q380" s="34"/>
    </row>
    <row r="381" spans="4:17" ht="21">
      <c r="D381" s="88"/>
      <c r="E381" s="89" t="s">
        <v>58</v>
      </c>
      <c r="F381" s="90"/>
      <c r="G381" s="90">
        <f>SUM(G4:G380)</f>
        <v>8346655.3214000035</v>
      </c>
      <c r="H381" s="90">
        <f>SUM(H4:H380)</f>
        <v>7458747.7781999987</v>
      </c>
      <c r="I381" s="90">
        <f>SUM(I4:I380)</f>
        <v>5131.1999999999971</v>
      </c>
      <c r="J381" s="90">
        <f>SUM(J4:J380)</f>
        <v>887907.54319999996</v>
      </c>
      <c r="K381" s="88"/>
      <c r="L381" s="89"/>
      <c r="M381" s="89"/>
      <c r="N381" s="89">
        <f>SUM(N4:N380)</f>
        <v>7567527.6281999983</v>
      </c>
      <c r="O381" s="89">
        <f>SUM(O4:O380)</f>
        <v>8447427.7545499969</v>
      </c>
      <c r="P381" s="89">
        <f>SUM(P4:P380)</f>
        <v>7381733.178199999</v>
      </c>
      <c r="Q381" s="89">
        <f>SUM(Q4:Q380)</f>
        <v>-965528.89719999966</v>
      </c>
    </row>
    <row r="382" spans="4:17" ht="18.75">
      <c r="D382" s="30"/>
      <c r="K382" s="30"/>
    </row>
    <row r="383" spans="4:17" ht="18.75">
      <c r="D383" s="30"/>
      <c r="K383" s="30"/>
    </row>
    <row r="384" spans="4:17" ht="18.75">
      <c r="D384" s="30"/>
      <c r="K384" s="30"/>
    </row>
    <row r="385" spans="4:11" ht="18.75">
      <c r="D385" s="30"/>
      <c r="F385" s="1" t="s">
        <v>59</v>
      </c>
      <c r="G385" s="83">
        <f>G381-O381</f>
        <v>-100772.43314999342</v>
      </c>
      <c r="K385" s="30"/>
    </row>
    <row r="386" spans="4:11" ht="18.75">
      <c r="D386" s="30"/>
      <c r="F386" s="1" t="s">
        <v>60</v>
      </c>
      <c r="G386" s="83">
        <f>H381-N381</f>
        <v>-108779.84999999963</v>
      </c>
      <c r="K386" s="30"/>
    </row>
    <row r="387" spans="4:11" ht="18.75">
      <c r="D387" s="30"/>
      <c r="F387" s="1" t="s">
        <v>10</v>
      </c>
      <c r="G387" s="83">
        <f>J381+Q381</f>
        <v>-77621.353999999701</v>
      </c>
      <c r="K387" s="30"/>
    </row>
    <row r="388" spans="4:11" ht="18.75">
      <c r="D388" s="30"/>
      <c r="K388" s="30"/>
    </row>
    <row r="389" spans="4:11" ht="18.75">
      <c r="D389" s="30"/>
      <c r="K389" s="30"/>
    </row>
    <row r="390" spans="4:11" ht="18.75">
      <c r="D390" s="30"/>
      <c r="K390" s="30"/>
    </row>
    <row r="391" spans="4:11" ht="18.75">
      <c r="D391" s="30"/>
      <c r="K391" s="30"/>
    </row>
    <row r="392" spans="4:11" ht="18.75">
      <c r="D392" s="30"/>
      <c r="K392" s="30"/>
    </row>
    <row r="393" spans="4:11" ht="18.75">
      <c r="D393" s="30"/>
      <c r="K393" s="30"/>
    </row>
    <row r="394" spans="4:11" ht="18.75">
      <c r="D394" s="30"/>
    </row>
  </sheetData>
  <mergeCells count="3">
    <mergeCell ref="D1:Q1"/>
    <mergeCell ref="D2:J2"/>
    <mergeCell ref="K2:Q2"/>
  </mergeCells>
  <pageMargins left="0.09" right="0.13" top="0.09" bottom="0.12" header="0.1" footer="0.04"/>
  <pageSetup scale="60" orientation="landscape" r:id="rId1"/>
  <rowBreaks count="6" manualBreakCount="6">
    <brk id="113" min="10" max="16" man="1"/>
    <brk id="151" min="10" max="16" man="1"/>
    <brk id="188" min="10" max="16" man="1"/>
    <brk id="265" min="10" max="16" man="1"/>
    <brk id="299" min="10" max="16" man="1"/>
    <brk id="374" min="10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B1:Q115"/>
  <sheetViews>
    <sheetView workbookViewId="0">
      <selection activeCell="E17" sqref="E17"/>
    </sheetView>
  </sheetViews>
  <sheetFormatPr defaultRowHeight="15"/>
  <cols>
    <col min="2" max="2" width="6.5703125" bestFit="1" customWidth="1"/>
    <col min="3" max="3" width="19.140625" customWidth="1"/>
    <col min="4" max="4" width="16.7109375" bestFit="1" customWidth="1"/>
    <col min="5" max="5" width="16.7109375" customWidth="1"/>
    <col min="6" max="6" width="15.5703125" customWidth="1"/>
    <col min="7" max="7" width="29.28515625" bestFit="1" customWidth="1"/>
    <col min="8" max="8" width="30.28515625" customWidth="1"/>
    <col min="10" max="10" width="18.42578125" customWidth="1"/>
    <col min="11" max="12" width="21.5703125" customWidth="1"/>
    <col min="13" max="13" width="18.28515625" customWidth="1"/>
    <col min="14" max="15" width="16.7109375" customWidth="1"/>
    <col min="16" max="16" width="14.7109375" customWidth="1"/>
    <col min="17" max="17" width="10.140625" bestFit="1" customWidth="1"/>
    <col min="258" max="258" width="6.5703125" bestFit="1" customWidth="1"/>
    <col min="259" max="259" width="19.140625" customWidth="1"/>
    <col min="260" max="260" width="16.7109375" bestFit="1" customWidth="1"/>
    <col min="261" max="261" width="28.140625" bestFit="1" customWidth="1"/>
    <col min="262" max="262" width="15.5703125" customWidth="1"/>
    <col min="263" max="263" width="30.28515625" customWidth="1"/>
    <col min="264" max="264" width="15.5703125" customWidth="1"/>
    <col min="266" max="266" width="18.42578125" customWidth="1"/>
    <col min="267" max="267" width="21.5703125" customWidth="1"/>
    <col min="268" max="268" width="18.28515625" customWidth="1"/>
    <col min="269" max="269" width="21.42578125" bestFit="1" customWidth="1"/>
    <col min="270" max="270" width="16.7109375" customWidth="1"/>
    <col min="271" max="271" width="15.85546875" customWidth="1"/>
    <col min="272" max="272" width="14.7109375" customWidth="1"/>
    <col min="273" max="273" width="10.140625" bestFit="1" customWidth="1"/>
    <col min="514" max="514" width="6.5703125" bestFit="1" customWidth="1"/>
    <col min="515" max="515" width="19.140625" customWidth="1"/>
    <col min="516" max="516" width="16.7109375" bestFit="1" customWidth="1"/>
    <col min="517" max="517" width="28.140625" bestFit="1" customWidth="1"/>
    <col min="518" max="518" width="15.5703125" customWidth="1"/>
    <col min="519" max="519" width="30.28515625" customWidth="1"/>
    <col min="520" max="520" width="15.5703125" customWidth="1"/>
    <col min="522" max="522" width="18.42578125" customWidth="1"/>
    <col min="523" max="523" width="21.5703125" customWidth="1"/>
    <col min="524" max="524" width="18.28515625" customWidth="1"/>
    <col min="525" max="525" width="21.42578125" bestFit="1" customWidth="1"/>
    <col min="526" max="526" width="16.7109375" customWidth="1"/>
    <col min="527" max="527" width="15.85546875" customWidth="1"/>
    <col min="528" max="528" width="14.7109375" customWidth="1"/>
    <col min="529" max="529" width="10.140625" bestFit="1" customWidth="1"/>
    <col min="770" max="770" width="6.5703125" bestFit="1" customWidth="1"/>
    <col min="771" max="771" width="19.140625" customWidth="1"/>
    <col min="772" max="772" width="16.7109375" bestFit="1" customWidth="1"/>
    <col min="773" max="773" width="28.140625" bestFit="1" customWidth="1"/>
    <col min="774" max="774" width="15.5703125" customWidth="1"/>
    <col min="775" max="775" width="30.28515625" customWidth="1"/>
    <col min="776" max="776" width="15.5703125" customWidth="1"/>
    <col min="778" max="778" width="18.42578125" customWidth="1"/>
    <col min="779" max="779" width="21.5703125" customWidth="1"/>
    <col min="780" max="780" width="18.28515625" customWidth="1"/>
    <col min="781" max="781" width="21.42578125" bestFit="1" customWidth="1"/>
    <col min="782" max="782" width="16.7109375" customWidth="1"/>
    <col min="783" max="783" width="15.85546875" customWidth="1"/>
    <col min="784" max="784" width="14.7109375" customWidth="1"/>
    <col min="785" max="785" width="10.140625" bestFit="1" customWidth="1"/>
    <col min="1026" max="1026" width="6.5703125" bestFit="1" customWidth="1"/>
    <col min="1027" max="1027" width="19.140625" customWidth="1"/>
    <col min="1028" max="1028" width="16.7109375" bestFit="1" customWidth="1"/>
    <col min="1029" max="1029" width="28.140625" bestFit="1" customWidth="1"/>
    <col min="1030" max="1030" width="15.5703125" customWidth="1"/>
    <col min="1031" max="1031" width="30.28515625" customWidth="1"/>
    <col min="1032" max="1032" width="15.5703125" customWidth="1"/>
    <col min="1034" max="1034" width="18.42578125" customWidth="1"/>
    <col min="1035" max="1035" width="21.5703125" customWidth="1"/>
    <col min="1036" max="1036" width="18.28515625" customWidth="1"/>
    <col min="1037" max="1037" width="21.42578125" bestFit="1" customWidth="1"/>
    <col min="1038" max="1038" width="16.7109375" customWidth="1"/>
    <col min="1039" max="1039" width="15.85546875" customWidth="1"/>
    <col min="1040" max="1040" width="14.7109375" customWidth="1"/>
    <col min="1041" max="1041" width="10.140625" bestFit="1" customWidth="1"/>
    <col min="1282" max="1282" width="6.5703125" bestFit="1" customWidth="1"/>
    <col min="1283" max="1283" width="19.140625" customWidth="1"/>
    <col min="1284" max="1284" width="16.7109375" bestFit="1" customWidth="1"/>
    <col min="1285" max="1285" width="28.140625" bestFit="1" customWidth="1"/>
    <col min="1286" max="1286" width="15.5703125" customWidth="1"/>
    <col min="1287" max="1287" width="30.28515625" customWidth="1"/>
    <col min="1288" max="1288" width="15.5703125" customWidth="1"/>
    <col min="1290" max="1290" width="18.42578125" customWidth="1"/>
    <col min="1291" max="1291" width="21.5703125" customWidth="1"/>
    <col min="1292" max="1292" width="18.28515625" customWidth="1"/>
    <col min="1293" max="1293" width="21.42578125" bestFit="1" customWidth="1"/>
    <col min="1294" max="1294" width="16.7109375" customWidth="1"/>
    <col min="1295" max="1295" width="15.85546875" customWidth="1"/>
    <col min="1296" max="1296" width="14.7109375" customWidth="1"/>
    <col min="1297" max="1297" width="10.140625" bestFit="1" customWidth="1"/>
    <col min="1538" max="1538" width="6.5703125" bestFit="1" customWidth="1"/>
    <col min="1539" max="1539" width="19.140625" customWidth="1"/>
    <col min="1540" max="1540" width="16.7109375" bestFit="1" customWidth="1"/>
    <col min="1541" max="1541" width="28.140625" bestFit="1" customWidth="1"/>
    <col min="1542" max="1542" width="15.5703125" customWidth="1"/>
    <col min="1543" max="1543" width="30.28515625" customWidth="1"/>
    <col min="1544" max="1544" width="15.5703125" customWidth="1"/>
    <col min="1546" max="1546" width="18.42578125" customWidth="1"/>
    <col min="1547" max="1547" width="21.5703125" customWidth="1"/>
    <col min="1548" max="1548" width="18.28515625" customWidth="1"/>
    <col min="1549" max="1549" width="21.42578125" bestFit="1" customWidth="1"/>
    <col min="1550" max="1550" width="16.7109375" customWidth="1"/>
    <col min="1551" max="1551" width="15.85546875" customWidth="1"/>
    <col min="1552" max="1552" width="14.7109375" customWidth="1"/>
    <col min="1553" max="1553" width="10.140625" bestFit="1" customWidth="1"/>
    <col min="1794" max="1794" width="6.5703125" bestFit="1" customWidth="1"/>
    <col min="1795" max="1795" width="19.140625" customWidth="1"/>
    <col min="1796" max="1796" width="16.7109375" bestFit="1" customWidth="1"/>
    <col min="1797" max="1797" width="28.140625" bestFit="1" customWidth="1"/>
    <col min="1798" max="1798" width="15.5703125" customWidth="1"/>
    <col min="1799" max="1799" width="30.28515625" customWidth="1"/>
    <col min="1800" max="1800" width="15.5703125" customWidth="1"/>
    <col min="1802" max="1802" width="18.42578125" customWidth="1"/>
    <col min="1803" max="1803" width="21.5703125" customWidth="1"/>
    <col min="1804" max="1804" width="18.28515625" customWidth="1"/>
    <col min="1805" max="1805" width="21.42578125" bestFit="1" customWidth="1"/>
    <col min="1806" max="1806" width="16.7109375" customWidth="1"/>
    <col min="1807" max="1807" width="15.85546875" customWidth="1"/>
    <col min="1808" max="1808" width="14.7109375" customWidth="1"/>
    <col min="1809" max="1809" width="10.140625" bestFit="1" customWidth="1"/>
    <col min="2050" max="2050" width="6.5703125" bestFit="1" customWidth="1"/>
    <col min="2051" max="2051" width="19.140625" customWidth="1"/>
    <col min="2052" max="2052" width="16.7109375" bestFit="1" customWidth="1"/>
    <col min="2053" max="2053" width="28.140625" bestFit="1" customWidth="1"/>
    <col min="2054" max="2054" width="15.5703125" customWidth="1"/>
    <col min="2055" max="2055" width="30.28515625" customWidth="1"/>
    <col min="2056" max="2056" width="15.5703125" customWidth="1"/>
    <col min="2058" max="2058" width="18.42578125" customWidth="1"/>
    <col min="2059" max="2059" width="21.5703125" customWidth="1"/>
    <col min="2060" max="2060" width="18.28515625" customWidth="1"/>
    <col min="2061" max="2061" width="21.42578125" bestFit="1" customWidth="1"/>
    <col min="2062" max="2062" width="16.7109375" customWidth="1"/>
    <col min="2063" max="2063" width="15.85546875" customWidth="1"/>
    <col min="2064" max="2064" width="14.7109375" customWidth="1"/>
    <col min="2065" max="2065" width="10.140625" bestFit="1" customWidth="1"/>
    <col min="2306" max="2306" width="6.5703125" bestFit="1" customWidth="1"/>
    <col min="2307" max="2307" width="19.140625" customWidth="1"/>
    <col min="2308" max="2308" width="16.7109375" bestFit="1" customWidth="1"/>
    <col min="2309" max="2309" width="28.140625" bestFit="1" customWidth="1"/>
    <col min="2310" max="2310" width="15.5703125" customWidth="1"/>
    <col min="2311" max="2311" width="30.28515625" customWidth="1"/>
    <col min="2312" max="2312" width="15.5703125" customWidth="1"/>
    <col min="2314" max="2314" width="18.42578125" customWidth="1"/>
    <col min="2315" max="2315" width="21.5703125" customWidth="1"/>
    <col min="2316" max="2316" width="18.28515625" customWidth="1"/>
    <col min="2317" max="2317" width="21.42578125" bestFit="1" customWidth="1"/>
    <col min="2318" max="2318" width="16.7109375" customWidth="1"/>
    <col min="2319" max="2319" width="15.85546875" customWidth="1"/>
    <col min="2320" max="2320" width="14.7109375" customWidth="1"/>
    <col min="2321" max="2321" width="10.140625" bestFit="1" customWidth="1"/>
    <col min="2562" max="2562" width="6.5703125" bestFit="1" customWidth="1"/>
    <col min="2563" max="2563" width="19.140625" customWidth="1"/>
    <col min="2564" max="2564" width="16.7109375" bestFit="1" customWidth="1"/>
    <col min="2565" max="2565" width="28.140625" bestFit="1" customWidth="1"/>
    <col min="2566" max="2566" width="15.5703125" customWidth="1"/>
    <col min="2567" max="2567" width="30.28515625" customWidth="1"/>
    <col min="2568" max="2568" width="15.5703125" customWidth="1"/>
    <col min="2570" max="2570" width="18.42578125" customWidth="1"/>
    <col min="2571" max="2571" width="21.5703125" customWidth="1"/>
    <col min="2572" max="2572" width="18.28515625" customWidth="1"/>
    <col min="2573" max="2573" width="21.42578125" bestFit="1" customWidth="1"/>
    <col min="2574" max="2574" width="16.7109375" customWidth="1"/>
    <col min="2575" max="2575" width="15.85546875" customWidth="1"/>
    <col min="2576" max="2576" width="14.7109375" customWidth="1"/>
    <col min="2577" max="2577" width="10.140625" bestFit="1" customWidth="1"/>
    <col min="2818" max="2818" width="6.5703125" bestFit="1" customWidth="1"/>
    <col min="2819" max="2819" width="19.140625" customWidth="1"/>
    <col min="2820" max="2820" width="16.7109375" bestFit="1" customWidth="1"/>
    <col min="2821" max="2821" width="28.140625" bestFit="1" customWidth="1"/>
    <col min="2822" max="2822" width="15.5703125" customWidth="1"/>
    <col min="2823" max="2823" width="30.28515625" customWidth="1"/>
    <col min="2824" max="2824" width="15.5703125" customWidth="1"/>
    <col min="2826" max="2826" width="18.42578125" customWidth="1"/>
    <col min="2827" max="2827" width="21.5703125" customWidth="1"/>
    <col min="2828" max="2828" width="18.28515625" customWidth="1"/>
    <col min="2829" max="2829" width="21.42578125" bestFit="1" customWidth="1"/>
    <col min="2830" max="2830" width="16.7109375" customWidth="1"/>
    <col min="2831" max="2831" width="15.85546875" customWidth="1"/>
    <col min="2832" max="2832" width="14.7109375" customWidth="1"/>
    <col min="2833" max="2833" width="10.140625" bestFit="1" customWidth="1"/>
    <col min="3074" max="3074" width="6.5703125" bestFit="1" customWidth="1"/>
    <col min="3075" max="3075" width="19.140625" customWidth="1"/>
    <col min="3076" max="3076" width="16.7109375" bestFit="1" customWidth="1"/>
    <col min="3077" max="3077" width="28.140625" bestFit="1" customWidth="1"/>
    <col min="3078" max="3078" width="15.5703125" customWidth="1"/>
    <col min="3079" max="3079" width="30.28515625" customWidth="1"/>
    <col min="3080" max="3080" width="15.5703125" customWidth="1"/>
    <col min="3082" max="3082" width="18.42578125" customWidth="1"/>
    <col min="3083" max="3083" width="21.5703125" customWidth="1"/>
    <col min="3084" max="3084" width="18.28515625" customWidth="1"/>
    <col min="3085" max="3085" width="21.42578125" bestFit="1" customWidth="1"/>
    <col min="3086" max="3086" width="16.7109375" customWidth="1"/>
    <col min="3087" max="3087" width="15.85546875" customWidth="1"/>
    <col min="3088" max="3088" width="14.7109375" customWidth="1"/>
    <col min="3089" max="3089" width="10.140625" bestFit="1" customWidth="1"/>
    <col min="3330" max="3330" width="6.5703125" bestFit="1" customWidth="1"/>
    <col min="3331" max="3331" width="19.140625" customWidth="1"/>
    <col min="3332" max="3332" width="16.7109375" bestFit="1" customWidth="1"/>
    <col min="3333" max="3333" width="28.140625" bestFit="1" customWidth="1"/>
    <col min="3334" max="3334" width="15.5703125" customWidth="1"/>
    <col min="3335" max="3335" width="30.28515625" customWidth="1"/>
    <col min="3336" max="3336" width="15.5703125" customWidth="1"/>
    <col min="3338" max="3338" width="18.42578125" customWidth="1"/>
    <col min="3339" max="3339" width="21.5703125" customWidth="1"/>
    <col min="3340" max="3340" width="18.28515625" customWidth="1"/>
    <col min="3341" max="3341" width="21.42578125" bestFit="1" customWidth="1"/>
    <col min="3342" max="3342" width="16.7109375" customWidth="1"/>
    <col min="3343" max="3343" width="15.85546875" customWidth="1"/>
    <col min="3344" max="3344" width="14.7109375" customWidth="1"/>
    <col min="3345" max="3345" width="10.140625" bestFit="1" customWidth="1"/>
    <col min="3586" max="3586" width="6.5703125" bestFit="1" customWidth="1"/>
    <col min="3587" max="3587" width="19.140625" customWidth="1"/>
    <col min="3588" max="3588" width="16.7109375" bestFit="1" customWidth="1"/>
    <col min="3589" max="3589" width="28.140625" bestFit="1" customWidth="1"/>
    <col min="3590" max="3590" width="15.5703125" customWidth="1"/>
    <col min="3591" max="3591" width="30.28515625" customWidth="1"/>
    <col min="3592" max="3592" width="15.5703125" customWidth="1"/>
    <col min="3594" max="3594" width="18.42578125" customWidth="1"/>
    <col min="3595" max="3595" width="21.5703125" customWidth="1"/>
    <col min="3596" max="3596" width="18.28515625" customWidth="1"/>
    <col min="3597" max="3597" width="21.42578125" bestFit="1" customWidth="1"/>
    <col min="3598" max="3598" width="16.7109375" customWidth="1"/>
    <col min="3599" max="3599" width="15.85546875" customWidth="1"/>
    <col min="3600" max="3600" width="14.7109375" customWidth="1"/>
    <col min="3601" max="3601" width="10.140625" bestFit="1" customWidth="1"/>
    <col min="3842" max="3842" width="6.5703125" bestFit="1" customWidth="1"/>
    <col min="3843" max="3843" width="19.140625" customWidth="1"/>
    <col min="3844" max="3844" width="16.7109375" bestFit="1" customWidth="1"/>
    <col min="3845" max="3845" width="28.140625" bestFit="1" customWidth="1"/>
    <col min="3846" max="3846" width="15.5703125" customWidth="1"/>
    <col min="3847" max="3847" width="30.28515625" customWidth="1"/>
    <col min="3848" max="3848" width="15.5703125" customWidth="1"/>
    <col min="3850" max="3850" width="18.42578125" customWidth="1"/>
    <col min="3851" max="3851" width="21.5703125" customWidth="1"/>
    <col min="3852" max="3852" width="18.28515625" customWidth="1"/>
    <col min="3853" max="3853" width="21.42578125" bestFit="1" customWidth="1"/>
    <col min="3854" max="3854" width="16.7109375" customWidth="1"/>
    <col min="3855" max="3855" width="15.85546875" customWidth="1"/>
    <col min="3856" max="3856" width="14.7109375" customWidth="1"/>
    <col min="3857" max="3857" width="10.140625" bestFit="1" customWidth="1"/>
    <col min="4098" max="4098" width="6.5703125" bestFit="1" customWidth="1"/>
    <col min="4099" max="4099" width="19.140625" customWidth="1"/>
    <col min="4100" max="4100" width="16.7109375" bestFit="1" customWidth="1"/>
    <col min="4101" max="4101" width="28.140625" bestFit="1" customWidth="1"/>
    <col min="4102" max="4102" width="15.5703125" customWidth="1"/>
    <col min="4103" max="4103" width="30.28515625" customWidth="1"/>
    <col min="4104" max="4104" width="15.5703125" customWidth="1"/>
    <col min="4106" max="4106" width="18.42578125" customWidth="1"/>
    <col min="4107" max="4107" width="21.5703125" customWidth="1"/>
    <col min="4108" max="4108" width="18.28515625" customWidth="1"/>
    <col min="4109" max="4109" width="21.42578125" bestFit="1" customWidth="1"/>
    <col min="4110" max="4110" width="16.7109375" customWidth="1"/>
    <col min="4111" max="4111" width="15.85546875" customWidth="1"/>
    <col min="4112" max="4112" width="14.7109375" customWidth="1"/>
    <col min="4113" max="4113" width="10.140625" bestFit="1" customWidth="1"/>
    <col min="4354" max="4354" width="6.5703125" bestFit="1" customWidth="1"/>
    <col min="4355" max="4355" width="19.140625" customWidth="1"/>
    <col min="4356" max="4356" width="16.7109375" bestFit="1" customWidth="1"/>
    <col min="4357" max="4357" width="28.140625" bestFit="1" customWidth="1"/>
    <col min="4358" max="4358" width="15.5703125" customWidth="1"/>
    <col min="4359" max="4359" width="30.28515625" customWidth="1"/>
    <col min="4360" max="4360" width="15.5703125" customWidth="1"/>
    <col min="4362" max="4362" width="18.42578125" customWidth="1"/>
    <col min="4363" max="4363" width="21.5703125" customWidth="1"/>
    <col min="4364" max="4364" width="18.28515625" customWidth="1"/>
    <col min="4365" max="4365" width="21.42578125" bestFit="1" customWidth="1"/>
    <col min="4366" max="4366" width="16.7109375" customWidth="1"/>
    <col min="4367" max="4367" width="15.85546875" customWidth="1"/>
    <col min="4368" max="4368" width="14.7109375" customWidth="1"/>
    <col min="4369" max="4369" width="10.140625" bestFit="1" customWidth="1"/>
    <col min="4610" max="4610" width="6.5703125" bestFit="1" customWidth="1"/>
    <col min="4611" max="4611" width="19.140625" customWidth="1"/>
    <col min="4612" max="4612" width="16.7109375" bestFit="1" customWidth="1"/>
    <col min="4613" max="4613" width="28.140625" bestFit="1" customWidth="1"/>
    <col min="4614" max="4614" width="15.5703125" customWidth="1"/>
    <col min="4615" max="4615" width="30.28515625" customWidth="1"/>
    <col min="4616" max="4616" width="15.5703125" customWidth="1"/>
    <col min="4618" max="4618" width="18.42578125" customWidth="1"/>
    <col min="4619" max="4619" width="21.5703125" customWidth="1"/>
    <col min="4620" max="4620" width="18.28515625" customWidth="1"/>
    <col min="4621" max="4621" width="21.42578125" bestFit="1" customWidth="1"/>
    <col min="4622" max="4622" width="16.7109375" customWidth="1"/>
    <col min="4623" max="4623" width="15.85546875" customWidth="1"/>
    <col min="4624" max="4624" width="14.7109375" customWidth="1"/>
    <col min="4625" max="4625" width="10.140625" bestFit="1" customWidth="1"/>
    <col min="4866" max="4866" width="6.5703125" bestFit="1" customWidth="1"/>
    <col min="4867" max="4867" width="19.140625" customWidth="1"/>
    <col min="4868" max="4868" width="16.7109375" bestFit="1" customWidth="1"/>
    <col min="4869" max="4869" width="28.140625" bestFit="1" customWidth="1"/>
    <col min="4870" max="4870" width="15.5703125" customWidth="1"/>
    <col min="4871" max="4871" width="30.28515625" customWidth="1"/>
    <col min="4872" max="4872" width="15.5703125" customWidth="1"/>
    <col min="4874" max="4874" width="18.42578125" customWidth="1"/>
    <col min="4875" max="4875" width="21.5703125" customWidth="1"/>
    <col min="4876" max="4876" width="18.28515625" customWidth="1"/>
    <col min="4877" max="4877" width="21.42578125" bestFit="1" customWidth="1"/>
    <col min="4878" max="4878" width="16.7109375" customWidth="1"/>
    <col min="4879" max="4879" width="15.85546875" customWidth="1"/>
    <col min="4880" max="4880" width="14.7109375" customWidth="1"/>
    <col min="4881" max="4881" width="10.140625" bestFit="1" customWidth="1"/>
    <col min="5122" max="5122" width="6.5703125" bestFit="1" customWidth="1"/>
    <col min="5123" max="5123" width="19.140625" customWidth="1"/>
    <col min="5124" max="5124" width="16.7109375" bestFit="1" customWidth="1"/>
    <col min="5125" max="5125" width="28.140625" bestFit="1" customWidth="1"/>
    <col min="5126" max="5126" width="15.5703125" customWidth="1"/>
    <col min="5127" max="5127" width="30.28515625" customWidth="1"/>
    <col min="5128" max="5128" width="15.5703125" customWidth="1"/>
    <col min="5130" max="5130" width="18.42578125" customWidth="1"/>
    <col min="5131" max="5131" width="21.5703125" customWidth="1"/>
    <col min="5132" max="5132" width="18.28515625" customWidth="1"/>
    <col min="5133" max="5133" width="21.42578125" bestFit="1" customWidth="1"/>
    <col min="5134" max="5134" width="16.7109375" customWidth="1"/>
    <col min="5135" max="5135" width="15.85546875" customWidth="1"/>
    <col min="5136" max="5136" width="14.7109375" customWidth="1"/>
    <col min="5137" max="5137" width="10.140625" bestFit="1" customWidth="1"/>
    <col min="5378" max="5378" width="6.5703125" bestFit="1" customWidth="1"/>
    <col min="5379" max="5379" width="19.140625" customWidth="1"/>
    <col min="5380" max="5380" width="16.7109375" bestFit="1" customWidth="1"/>
    <col min="5381" max="5381" width="28.140625" bestFit="1" customWidth="1"/>
    <col min="5382" max="5382" width="15.5703125" customWidth="1"/>
    <col min="5383" max="5383" width="30.28515625" customWidth="1"/>
    <col min="5384" max="5384" width="15.5703125" customWidth="1"/>
    <col min="5386" max="5386" width="18.42578125" customWidth="1"/>
    <col min="5387" max="5387" width="21.5703125" customWidth="1"/>
    <col min="5388" max="5388" width="18.28515625" customWidth="1"/>
    <col min="5389" max="5389" width="21.42578125" bestFit="1" customWidth="1"/>
    <col min="5390" max="5390" width="16.7109375" customWidth="1"/>
    <col min="5391" max="5391" width="15.85546875" customWidth="1"/>
    <col min="5392" max="5392" width="14.7109375" customWidth="1"/>
    <col min="5393" max="5393" width="10.140625" bestFit="1" customWidth="1"/>
    <col min="5634" max="5634" width="6.5703125" bestFit="1" customWidth="1"/>
    <col min="5635" max="5635" width="19.140625" customWidth="1"/>
    <col min="5636" max="5636" width="16.7109375" bestFit="1" customWidth="1"/>
    <col min="5637" max="5637" width="28.140625" bestFit="1" customWidth="1"/>
    <col min="5638" max="5638" width="15.5703125" customWidth="1"/>
    <col min="5639" max="5639" width="30.28515625" customWidth="1"/>
    <col min="5640" max="5640" width="15.5703125" customWidth="1"/>
    <col min="5642" max="5642" width="18.42578125" customWidth="1"/>
    <col min="5643" max="5643" width="21.5703125" customWidth="1"/>
    <col min="5644" max="5644" width="18.28515625" customWidth="1"/>
    <col min="5645" max="5645" width="21.42578125" bestFit="1" customWidth="1"/>
    <col min="5646" max="5646" width="16.7109375" customWidth="1"/>
    <col min="5647" max="5647" width="15.85546875" customWidth="1"/>
    <col min="5648" max="5648" width="14.7109375" customWidth="1"/>
    <col min="5649" max="5649" width="10.140625" bestFit="1" customWidth="1"/>
    <col min="5890" max="5890" width="6.5703125" bestFit="1" customWidth="1"/>
    <col min="5891" max="5891" width="19.140625" customWidth="1"/>
    <col min="5892" max="5892" width="16.7109375" bestFit="1" customWidth="1"/>
    <col min="5893" max="5893" width="28.140625" bestFit="1" customWidth="1"/>
    <col min="5894" max="5894" width="15.5703125" customWidth="1"/>
    <col min="5895" max="5895" width="30.28515625" customWidth="1"/>
    <col min="5896" max="5896" width="15.5703125" customWidth="1"/>
    <col min="5898" max="5898" width="18.42578125" customWidth="1"/>
    <col min="5899" max="5899" width="21.5703125" customWidth="1"/>
    <col min="5900" max="5900" width="18.28515625" customWidth="1"/>
    <col min="5901" max="5901" width="21.42578125" bestFit="1" customWidth="1"/>
    <col min="5902" max="5902" width="16.7109375" customWidth="1"/>
    <col min="5903" max="5903" width="15.85546875" customWidth="1"/>
    <col min="5904" max="5904" width="14.7109375" customWidth="1"/>
    <col min="5905" max="5905" width="10.140625" bestFit="1" customWidth="1"/>
    <col min="6146" max="6146" width="6.5703125" bestFit="1" customWidth="1"/>
    <col min="6147" max="6147" width="19.140625" customWidth="1"/>
    <col min="6148" max="6148" width="16.7109375" bestFit="1" customWidth="1"/>
    <col min="6149" max="6149" width="28.140625" bestFit="1" customWidth="1"/>
    <col min="6150" max="6150" width="15.5703125" customWidth="1"/>
    <col min="6151" max="6151" width="30.28515625" customWidth="1"/>
    <col min="6152" max="6152" width="15.5703125" customWidth="1"/>
    <col min="6154" max="6154" width="18.42578125" customWidth="1"/>
    <col min="6155" max="6155" width="21.5703125" customWidth="1"/>
    <col min="6156" max="6156" width="18.28515625" customWidth="1"/>
    <col min="6157" max="6157" width="21.42578125" bestFit="1" customWidth="1"/>
    <col min="6158" max="6158" width="16.7109375" customWidth="1"/>
    <col min="6159" max="6159" width="15.85546875" customWidth="1"/>
    <col min="6160" max="6160" width="14.7109375" customWidth="1"/>
    <col min="6161" max="6161" width="10.140625" bestFit="1" customWidth="1"/>
    <col min="6402" max="6402" width="6.5703125" bestFit="1" customWidth="1"/>
    <col min="6403" max="6403" width="19.140625" customWidth="1"/>
    <col min="6404" max="6404" width="16.7109375" bestFit="1" customWidth="1"/>
    <col min="6405" max="6405" width="28.140625" bestFit="1" customWidth="1"/>
    <col min="6406" max="6406" width="15.5703125" customWidth="1"/>
    <col min="6407" max="6407" width="30.28515625" customWidth="1"/>
    <col min="6408" max="6408" width="15.5703125" customWidth="1"/>
    <col min="6410" max="6410" width="18.42578125" customWidth="1"/>
    <col min="6411" max="6411" width="21.5703125" customWidth="1"/>
    <col min="6412" max="6412" width="18.28515625" customWidth="1"/>
    <col min="6413" max="6413" width="21.42578125" bestFit="1" customWidth="1"/>
    <col min="6414" max="6414" width="16.7109375" customWidth="1"/>
    <col min="6415" max="6415" width="15.85546875" customWidth="1"/>
    <col min="6416" max="6416" width="14.7109375" customWidth="1"/>
    <col min="6417" max="6417" width="10.140625" bestFit="1" customWidth="1"/>
    <col min="6658" max="6658" width="6.5703125" bestFit="1" customWidth="1"/>
    <col min="6659" max="6659" width="19.140625" customWidth="1"/>
    <col min="6660" max="6660" width="16.7109375" bestFit="1" customWidth="1"/>
    <col min="6661" max="6661" width="28.140625" bestFit="1" customWidth="1"/>
    <col min="6662" max="6662" width="15.5703125" customWidth="1"/>
    <col min="6663" max="6663" width="30.28515625" customWidth="1"/>
    <col min="6664" max="6664" width="15.5703125" customWidth="1"/>
    <col min="6666" max="6666" width="18.42578125" customWidth="1"/>
    <col min="6667" max="6667" width="21.5703125" customWidth="1"/>
    <col min="6668" max="6668" width="18.28515625" customWidth="1"/>
    <col min="6669" max="6669" width="21.42578125" bestFit="1" customWidth="1"/>
    <col min="6670" max="6670" width="16.7109375" customWidth="1"/>
    <col min="6671" max="6671" width="15.85546875" customWidth="1"/>
    <col min="6672" max="6672" width="14.7109375" customWidth="1"/>
    <col min="6673" max="6673" width="10.140625" bestFit="1" customWidth="1"/>
    <col min="6914" max="6914" width="6.5703125" bestFit="1" customWidth="1"/>
    <col min="6915" max="6915" width="19.140625" customWidth="1"/>
    <col min="6916" max="6916" width="16.7109375" bestFit="1" customWidth="1"/>
    <col min="6917" max="6917" width="28.140625" bestFit="1" customWidth="1"/>
    <col min="6918" max="6918" width="15.5703125" customWidth="1"/>
    <col min="6919" max="6919" width="30.28515625" customWidth="1"/>
    <col min="6920" max="6920" width="15.5703125" customWidth="1"/>
    <col min="6922" max="6922" width="18.42578125" customWidth="1"/>
    <col min="6923" max="6923" width="21.5703125" customWidth="1"/>
    <col min="6924" max="6924" width="18.28515625" customWidth="1"/>
    <col min="6925" max="6925" width="21.42578125" bestFit="1" customWidth="1"/>
    <col min="6926" max="6926" width="16.7109375" customWidth="1"/>
    <col min="6927" max="6927" width="15.85546875" customWidth="1"/>
    <col min="6928" max="6928" width="14.7109375" customWidth="1"/>
    <col min="6929" max="6929" width="10.140625" bestFit="1" customWidth="1"/>
    <col min="7170" max="7170" width="6.5703125" bestFit="1" customWidth="1"/>
    <col min="7171" max="7171" width="19.140625" customWidth="1"/>
    <col min="7172" max="7172" width="16.7109375" bestFit="1" customWidth="1"/>
    <col min="7173" max="7173" width="28.140625" bestFit="1" customWidth="1"/>
    <col min="7174" max="7174" width="15.5703125" customWidth="1"/>
    <col min="7175" max="7175" width="30.28515625" customWidth="1"/>
    <col min="7176" max="7176" width="15.5703125" customWidth="1"/>
    <col min="7178" max="7178" width="18.42578125" customWidth="1"/>
    <col min="7179" max="7179" width="21.5703125" customWidth="1"/>
    <col min="7180" max="7180" width="18.28515625" customWidth="1"/>
    <col min="7181" max="7181" width="21.42578125" bestFit="1" customWidth="1"/>
    <col min="7182" max="7182" width="16.7109375" customWidth="1"/>
    <col min="7183" max="7183" width="15.85546875" customWidth="1"/>
    <col min="7184" max="7184" width="14.7109375" customWidth="1"/>
    <col min="7185" max="7185" width="10.140625" bestFit="1" customWidth="1"/>
    <col min="7426" max="7426" width="6.5703125" bestFit="1" customWidth="1"/>
    <col min="7427" max="7427" width="19.140625" customWidth="1"/>
    <col min="7428" max="7428" width="16.7109375" bestFit="1" customWidth="1"/>
    <col min="7429" max="7429" width="28.140625" bestFit="1" customWidth="1"/>
    <col min="7430" max="7430" width="15.5703125" customWidth="1"/>
    <col min="7431" max="7431" width="30.28515625" customWidth="1"/>
    <col min="7432" max="7432" width="15.5703125" customWidth="1"/>
    <col min="7434" max="7434" width="18.42578125" customWidth="1"/>
    <col min="7435" max="7435" width="21.5703125" customWidth="1"/>
    <col min="7436" max="7436" width="18.28515625" customWidth="1"/>
    <col min="7437" max="7437" width="21.42578125" bestFit="1" customWidth="1"/>
    <col min="7438" max="7438" width="16.7109375" customWidth="1"/>
    <col min="7439" max="7439" width="15.85546875" customWidth="1"/>
    <col min="7440" max="7440" width="14.7109375" customWidth="1"/>
    <col min="7441" max="7441" width="10.140625" bestFit="1" customWidth="1"/>
    <col min="7682" max="7682" width="6.5703125" bestFit="1" customWidth="1"/>
    <col min="7683" max="7683" width="19.140625" customWidth="1"/>
    <col min="7684" max="7684" width="16.7109375" bestFit="1" customWidth="1"/>
    <col min="7685" max="7685" width="28.140625" bestFit="1" customWidth="1"/>
    <col min="7686" max="7686" width="15.5703125" customWidth="1"/>
    <col min="7687" max="7687" width="30.28515625" customWidth="1"/>
    <col min="7688" max="7688" width="15.5703125" customWidth="1"/>
    <col min="7690" max="7690" width="18.42578125" customWidth="1"/>
    <col min="7691" max="7691" width="21.5703125" customWidth="1"/>
    <col min="7692" max="7692" width="18.28515625" customWidth="1"/>
    <col min="7693" max="7693" width="21.42578125" bestFit="1" customWidth="1"/>
    <col min="7694" max="7694" width="16.7109375" customWidth="1"/>
    <col min="7695" max="7695" width="15.85546875" customWidth="1"/>
    <col min="7696" max="7696" width="14.7109375" customWidth="1"/>
    <col min="7697" max="7697" width="10.140625" bestFit="1" customWidth="1"/>
    <col min="7938" max="7938" width="6.5703125" bestFit="1" customWidth="1"/>
    <col min="7939" max="7939" width="19.140625" customWidth="1"/>
    <col min="7940" max="7940" width="16.7109375" bestFit="1" customWidth="1"/>
    <col min="7941" max="7941" width="28.140625" bestFit="1" customWidth="1"/>
    <col min="7942" max="7942" width="15.5703125" customWidth="1"/>
    <col min="7943" max="7943" width="30.28515625" customWidth="1"/>
    <col min="7944" max="7944" width="15.5703125" customWidth="1"/>
    <col min="7946" max="7946" width="18.42578125" customWidth="1"/>
    <col min="7947" max="7947" width="21.5703125" customWidth="1"/>
    <col min="7948" max="7948" width="18.28515625" customWidth="1"/>
    <col min="7949" max="7949" width="21.42578125" bestFit="1" customWidth="1"/>
    <col min="7950" max="7950" width="16.7109375" customWidth="1"/>
    <col min="7951" max="7951" width="15.85546875" customWidth="1"/>
    <col min="7952" max="7952" width="14.7109375" customWidth="1"/>
    <col min="7953" max="7953" width="10.140625" bestFit="1" customWidth="1"/>
    <col min="8194" max="8194" width="6.5703125" bestFit="1" customWidth="1"/>
    <col min="8195" max="8195" width="19.140625" customWidth="1"/>
    <col min="8196" max="8196" width="16.7109375" bestFit="1" customWidth="1"/>
    <col min="8197" max="8197" width="28.140625" bestFit="1" customWidth="1"/>
    <col min="8198" max="8198" width="15.5703125" customWidth="1"/>
    <col min="8199" max="8199" width="30.28515625" customWidth="1"/>
    <col min="8200" max="8200" width="15.5703125" customWidth="1"/>
    <col min="8202" max="8202" width="18.42578125" customWidth="1"/>
    <col min="8203" max="8203" width="21.5703125" customWidth="1"/>
    <col min="8204" max="8204" width="18.28515625" customWidth="1"/>
    <col min="8205" max="8205" width="21.42578125" bestFit="1" customWidth="1"/>
    <col min="8206" max="8206" width="16.7109375" customWidth="1"/>
    <col min="8207" max="8207" width="15.85546875" customWidth="1"/>
    <col min="8208" max="8208" width="14.7109375" customWidth="1"/>
    <col min="8209" max="8209" width="10.140625" bestFit="1" customWidth="1"/>
    <col min="8450" max="8450" width="6.5703125" bestFit="1" customWidth="1"/>
    <col min="8451" max="8451" width="19.140625" customWidth="1"/>
    <col min="8452" max="8452" width="16.7109375" bestFit="1" customWidth="1"/>
    <col min="8453" max="8453" width="28.140625" bestFit="1" customWidth="1"/>
    <col min="8454" max="8454" width="15.5703125" customWidth="1"/>
    <col min="8455" max="8455" width="30.28515625" customWidth="1"/>
    <col min="8456" max="8456" width="15.5703125" customWidth="1"/>
    <col min="8458" max="8458" width="18.42578125" customWidth="1"/>
    <col min="8459" max="8459" width="21.5703125" customWidth="1"/>
    <col min="8460" max="8460" width="18.28515625" customWidth="1"/>
    <col min="8461" max="8461" width="21.42578125" bestFit="1" customWidth="1"/>
    <col min="8462" max="8462" width="16.7109375" customWidth="1"/>
    <col min="8463" max="8463" width="15.85546875" customWidth="1"/>
    <col min="8464" max="8464" width="14.7109375" customWidth="1"/>
    <col min="8465" max="8465" width="10.140625" bestFit="1" customWidth="1"/>
    <col min="8706" max="8706" width="6.5703125" bestFit="1" customWidth="1"/>
    <col min="8707" max="8707" width="19.140625" customWidth="1"/>
    <col min="8708" max="8708" width="16.7109375" bestFit="1" customWidth="1"/>
    <col min="8709" max="8709" width="28.140625" bestFit="1" customWidth="1"/>
    <col min="8710" max="8710" width="15.5703125" customWidth="1"/>
    <col min="8711" max="8711" width="30.28515625" customWidth="1"/>
    <col min="8712" max="8712" width="15.5703125" customWidth="1"/>
    <col min="8714" max="8714" width="18.42578125" customWidth="1"/>
    <col min="8715" max="8715" width="21.5703125" customWidth="1"/>
    <col min="8716" max="8716" width="18.28515625" customWidth="1"/>
    <col min="8717" max="8717" width="21.42578125" bestFit="1" customWidth="1"/>
    <col min="8718" max="8718" width="16.7109375" customWidth="1"/>
    <col min="8719" max="8719" width="15.85546875" customWidth="1"/>
    <col min="8720" max="8720" width="14.7109375" customWidth="1"/>
    <col min="8721" max="8721" width="10.140625" bestFit="1" customWidth="1"/>
    <col min="8962" max="8962" width="6.5703125" bestFit="1" customWidth="1"/>
    <col min="8963" max="8963" width="19.140625" customWidth="1"/>
    <col min="8964" max="8964" width="16.7109375" bestFit="1" customWidth="1"/>
    <col min="8965" max="8965" width="28.140625" bestFit="1" customWidth="1"/>
    <col min="8966" max="8966" width="15.5703125" customWidth="1"/>
    <col min="8967" max="8967" width="30.28515625" customWidth="1"/>
    <col min="8968" max="8968" width="15.5703125" customWidth="1"/>
    <col min="8970" max="8970" width="18.42578125" customWidth="1"/>
    <col min="8971" max="8971" width="21.5703125" customWidth="1"/>
    <col min="8972" max="8972" width="18.28515625" customWidth="1"/>
    <col min="8973" max="8973" width="21.42578125" bestFit="1" customWidth="1"/>
    <col min="8974" max="8974" width="16.7109375" customWidth="1"/>
    <col min="8975" max="8975" width="15.85546875" customWidth="1"/>
    <col min="8976" max="8976" width="14.7109375" customWidth="1"/>
    <col min="8977" max="8977" width="10.140625" bestFit="1" customWidth="1"/>
    <col min="9218" max="9218" width="6.5703125" bestFit="1" customWidth="1"/>
    <col min="9219" max="9219" width="19.140625" customWidth="1"/>
    <col min="9220" max="9220" width="16.7109375" bestFit="1" customWidth="1"/>
    <col min="9221" max="9221" width="28.140625" bestFit="1" customWidth="1"/>
    <col min="9222" max="9222" width="15.5703125" customWidth="1"/>
    <col min="9223" max="9223" width="30.28515625" customWidth="1"/>
    <col min="9224" max="9224" width="15.5703125" customWidth="1"/>
    <col min="9226" max="9226" width="18.42578125" customWidth="1"/>
    <col min="9227" max="9227" width="21.5703125" customWidth="1"/>
    <col min="9228" max="9228" width="18.28515625" customWidth="1"/>
    <col min="9229" max="9229" width="21.42578125" bestFit="1" customWidth="1"/>
    <col min="9230" max="9230" width="16.7109375" customWidth="1"/>
    <col min="9231" max="9231" width="15.85546875" customWidth="1"/>
    <col min="9232" max="9232" width="14.7109375" customWidth="1"/>
    <col min="9233" max="9233" width="10.140625" bestFit="1" customWidth="1"/>
    <col min="9474" max="9474" width="6.5703125" bestFit="1" customWidth="1"/>
    <col min="9475" max="9475" width="19.140625" customWidth="1"/>
    <col min="9476" max="9476" width="16.7109375" bestFit="1" customWidth="1"/>
    <col min="9477" max="9477" width="28.140625" bestFit="1" customWidth="1"/>
    <col min="9478" max="9478" width="15.5703125" customWidth="1"/>
    <col min="9479" max="9479" width="30.28515625" customWidth="1"/>
    <col min="9480" max="9480" width="15.5703125" customWidth="1"/>
    <col min="9482" max="9482" width="18.42578125" customWidth="1"/>
    <col min="9483" max="9483" width="21.5703125" customWidth="1"/>
    <col min="9484" max="9484" width="18.28515625" customWidth="1"/>
    <col min="9485" max="9485" width="21.42578125" bestFit="1" customWidth="1"/>
    <col min="9486" max="9486" width="16.7109375" customWidth="1"/>
    <col min="9487" max="9487" width="15.85546875" customWidth="1"/>
    <col min="9488" max="9488" width="14.7109375" customWidth="1"/>
    <col min="9489" max="9489" width="10.140625" bestFit="1" customWidth="1"/>
    <col min="9730" max="9730" width="6.5703125" bestFit="1" customWidth="1"/>
    <col min="9731" max="9731" width="19.140625" customWidth="1"/>
    <col min="9732" max="9732" width="16.7109375" bestFit="1" customWidth="1"/>
    <col min="9733" max="9733" width="28.140625" bestFit="1" customWidth="1"/>
    <col min="9734" max="9734" width="15.5703125" customWidth="1"/>
    <col min="9735" max="9735" width="30.28515625" customWidth="1"/>
    <col min="9736" max="9736" width="15.5703125" customWidth="1"/>
    <col min="9738" max="9738" width="18.42578125" customWidth="1"/>
    <col min="9739" max="9739" width="21.5703125" customWidth="1"/>
    <col min="9740" max="9740" width="18.28515625" customWidth="1"/>
    <col min="9741" max="9741" width="21.42578125" bestFit="1" customWidth="1"/>
    <col min="9742" max="9742" width="16.7109375" customWidth="1"/>
    <col min="9743" max="9743" width="15.85546875" customWidth="1"/>
    <col min="9744" max="9744" width="14.7109375" customWidth="1"/>
    <col min="9745" max="9745" width="10.140625" bestFit="1" customWidth="1"/>
    <col min="9986" max="9986" width="6.5703125" bestFit="1" customWidth="1"/>
    <col min="9987" max="9987" width="19.140625" customWidth="1"/>
    <col min="9988" max="9988" width="16.7109375" bestFit="1" customWidth="1"/>
    <col min="9989" max="9989" width="28.140625" bestFit="1" customWidth="1"/>
    <col min="9990" max="9990" width="15.5703125" customWidth="1"/>
    <col min="9991" max="9991" width="30.28515625" customWidth="1"/>
    <col min="9992" max="9992" width="15.5703125" customWidth="1"/>
    <col min="9994" max="9994" width="18.42578125" customWidth="1"/>
    <col min="9995" max="9995" width="21.5703125" customWidth="1"/>
    <col min="9996" max="9996" width="18.28515625" customWidth="1"/>
    <col min="9997" max="9997" width="21.42578125" bestFit="1" customWidth="1"/>
    <col min="9998" max="9998" width="16.7109375" customWidth="1"/>
    <col min="9999" max="9999" width="15.85546875" customWidth="1"/>
    <col min="10000" max="10000" width="14.7109375" customWidth="1"/>
    <col min="10001" max="10001" width="10.140625" bestFit="1" customWidth="1"/>
    <col min="10242" max="10242" width="6.5703125" bestFit="1" customWidth="1"/>
    <col min="10243" max="10243" width="19.140625" customWidth="1"/>
    <col min="10244" max="10244" width="16.7109375" bestFit="1" customWidth="1"/>
    <col min="10245" max="10245" width="28.140625" bestFit="1" customWidth="1"/>
    <col min="10246" max="10246" width="15.5703125" customWidth="1"/>
    <col min="10247" max="10247" width="30.28515625" customWidth="1"/>
    <col min="10248" max="10248" width="15.5703125" customWidth="1"/>
    <col min="10250" max="10250" width="18.42578125" customWidth="1"/>
    <col min="10251" max="10251" width="21.5703125" customWidth="1"/>
    <col min="10252" max="10252" width="18.28515625" customWidth="1"/>
    <col min="10253" max="10253" width="21.42578125" bestFit="1" customWidth="1"/>
    <col min="10254" max="10254" width="16.7109375" customWidth="1"/>
    <col min="10255" max="10255" width="15.85546875" customWidth="1"/>
    <col min="10256" max="10256" width="14.7109375" customWidth="1"/>
    <col min="10257" max="10257" width="10.140625" bestFit="1" customWidth="1"/>
    <col min="10498" max="10498" width="6.5703125" bestFit="1" customWidth="1"/>
    <col min="10499" max="10499" width="19.140625" customWidth="1"/>
    <col min="10500" max="10500" width="16.7109375" bestFit="1" customWidth="1"/>
    <col min="10501" max="10501" width="28.140625" bestFit="1" customWidth="1"/>
    <col min="10502" max="10502" width="15.5703125" customWidth="1"/>
    <col min="10503" max="10503" width="30.28515625" customWidth="1"/>
    <col min="10504" max="10504" width="15.5703125" customWidth="1"/>
    <col min="10506" max="10506" width="18.42578125" customWidth="1"/>
    <col min="10507" max="10507" width="21.5703125" customWidth="1"/>
    <col min="10508" max="10508" width="18.28515625" customWidth="1"/>
    <col min="10509" max="10509" width="21.42578125" bestFit="1" customWidth="1"/>
    <col min="10510" max="10510" width="16.7109375" customWidth="1"/>
    <col min="10511" max="10511" width="15.85546875" customWidth="1"/>
    <col min="10512" max="10512" width="14.7109375" customWidth="1"/>
    <col min="10513" max="10513" width="10.140625" bestFit="1" customWidth="1"/>
    <col min="10754" max="10754" width="6.5703125" bestFit="1" customWidth="1"/>
    <col min="10755" max="10755" width="19.140625" customWidth="1"/>
    <col min="10756" max="10756" width="16.7109375" bestFit="1" customWidth="1"/>
    <col min="10757" max="10757" width="28.140625" bestFit="1" customWidth="1"/>
    <col min="10758" max="10758" width="15.5703125" customWidth="1"/>
    <col min="10759" max="10759" width="30.28515625" customWidth="1"/>
    <col min="10760" max="10760" width="15.5703125" customWidth="1"/>
    <col min="10762" max="10762" width="18.42578125" customWidth="1"/>
    <col min="10763" max="10763" width="21.5703125" customWidth="1"/>
    <col min="10764" max="10764" width="18.28515625" customWidth="1"/>
    <col min="10765" max="10765" width="21.42578125" bestFit="1" customWidth="1"/>
    <col min="10766" max="10766" width="16.7109375" customWidth="1"/>
    <col min="10767" max="10767" width="15.85546875" customWidth="1"/>
    <col min="10768" max="10768" width="14.7109375" customWidth="1"/>
    <col min="10769" max="10769" width="10.140625" bestFit="1" customWidth="1"/>
    <col min="11010" max="11010" width="6.5703125" bestFit="1" customWidth="1"/>
    <col min="11011" max="11011" width="19.140625" customWidth="1"/>
    <col min="11012" max="11012" width="16.7109375" bestFit="1" customWidth="1"/>
    <col min="11013" max="11013" width="28.140625" bestFit="1" customWidth="1"/>
    <col min="11014" max="11014" width="15.5703125" customWidth="1"/>
    <col min="11015" max="11015" width="30.28515625" customWidth="1"/>
    <col min="11016" max="11016" width="15.5703125" customWidth="1"/>
    <col min="11018" max="11018" width="18.42578125" customWidth="1"/>
    <col min="11019" max="11019" width="21.5703125" customWidth="1"/>
    <col min="11020" max="11020" width="18.28515625" customWidth="1"/>
    <col min="11021" max="11021" width="21.42578125" bestFit="1" customWidth="1"/>
    <col min="11022" max="11022" width="16.7109375" customWidth="1"/>
    <col min="11023" max="11023" width="15.85546875" customWidth="1"/>
    <col min="11024" max="11024" width="14.7109375" customWidth="1"/>
    <col min="11025" max="11025" width="10.140625" bestFit="1" customWidth="1"/>
    <col min="11266" max="11266" width="6.5703125" bestFit="1" customWidth="1"/>
    <col min="11267" max="11267" width="19.140625" customWidth="1"/>
    <col min="11268" max="11268" width="16.7109375" bestFit="1" customWidth="1"/>
    <col min="11269" max="11269" width="28.140625" bestFit="1" customWidth="1"/>
    <col min="11270" max="11270" width="15.5703125" customWidth="1"/>
    <col min="11271" max="11271" width="30.28515625" customWidth="1"/>
    <col min="11272" max="11272" width="15.5703125" customWidth="1"/>
    <col min="11274" max="11274" width="18.42578125" customWidth="1"/>
    <col min="11275" max="11275" width="21.5703125" customWidth="1"/>
    <col min="11276" max="11276" width="18.28515625" customWidth="1"/>
    <col min="11277" max="11277" width="21.42578125" bestFit="1" customWidth="1"/>
    <col min="11278" max="11278" width="16.7109375" customWidth="1"/>
    <col min="11279" max="11279" width="15.85546875" customWidth="1"/>
    <col min="11280" max="11280" width="14.7109375" customWidth="1"/>
    <col min="11281" max="11281" width="10.140625" bestFit="1" customWidth="1"/>
    <col min="11522" max="11522" width="6.5703125" bestFit="1" customWidth="1"/>
    <col min="11523" max="11523" width="19.140625" customWidth="1"/>
    <col min="11524" max="11524" width="16.7109375" bestFit="1" customWidth="1"/>
    <col min="11525" max="11525" width="28.140625" bestFit="1" customWidth="1"/>
    <col min="11526" max="11526" width="15.5703125" customWidth="1"/>
    <col min="11527" max="11527" width="30.28515625" customWidth="1"/>
    <col min="11528" max="11528" width="15.5703125" customWidth="1"/>
    <col min="11530" max="11530" width="18.42578125" customWidth="1"/>
    <col min="11531" max="11531" width="21.5703125" customWidth="1"/>
    <col min="11532" max="11532" width="18.28515625" customWidth="1"/>
    <col min="11533" max="11533" width="21.42578125" bestFit="1" customWidth="1"/>
    <col min="11534" max="11534" width="16.7109375" customWidth="1"/>
    <col min="11535" max="11535" width="15.85546875" customWidth="1"/>
    <col min="11536" max="11536" width="14.7109375" customWidth="1"/>
    <col min="11537" max="11537" width="10.140625" bestFit="1" customWidth="1"/>
    <col min="11778" max="11778" width="6.5703125" bestFit="1" customWidth="1"/>
    <col min="11779" max="11779" width="19.140625" customWidth="1"/>
    <col min="11780" max="11780" width="16.7109375" bestFit="1" customWidth="1"/>
    <col min="11781" max="11781" width="28.140625" bestFit="1" customWidth="1"/>
    <col min="11782" max="11782" width="15.5703125" customWidth="1"/>
    <col min="11783" max="11783" width="30.28515625" customWidth="1"/>
    <col min="11784" max="11784" width="15.5703125" customWidth="1"/>
    <col min="11786" max="11786" width="18.42578125" customWidth="1"/>
    <col min="11787" max="11787" width="21.5703125" customWidth="1"/>
    <col min="11788" max="11788" width="18.28515625" customWidth="1"/>
    <col min="11789" max="11789" width="21.42578125" bestFit="1" customWidth="1"/>
    <col min="11790" max="11790" width="16.7109375" customWidth="1"/>
    <col min="11791" max="11791" width="15.85546875" customWidth="1"/>
    <col min="11792" max="11792" width="14.7109375" customWidth="1"/>
    <col min="11793" max="11793" width="10.140625" bestFit="1" customWidth="1"/>
    <col min="12034" max="12034" width="6.5703125" bestFit="1" customWidth="1"/>
    <col min="12035" max="12035" width="19.140625" customWidth="1"/>
    <col min="12036" max="12036" width="16.7109375" bestFit="1" customWidth="1"/>
    <col min="12037" max="12037" width="28.140625" bestFit="1" customWidth="1"/>
    <col min="12038" max="12038" width="15.5703125" customWidth="1"/>
    <col min="12039" max="12039" width="30.28515625" customWidth="1"/>
    <col min="12040" max="12040" width="15.5703125" customWidth="1"/>
    <col min="12042" max="12042" width="18.42578125" customWidth="1"/>
    <col min="12043" max="12043" width="21.5703125" customWidth="1"/>
    <col min="12044" max="12044" width="18.28515625" customWidth="1"/>
    <col min="12045" max="12045" width="21.42578125" bestFit="1" customWidth="1"/>
    <col min="12046" max="12046" width="16.7109375" customWidth="1"/>
    <col min="12047" max="12047" width="15.85546875" customWidth="1"/>
    <col min="12048" max="12048" width="14.7109375" customWidth="1"/>
    <col min="12049" max="12049" width="10.140625" bestFit="1" customWidth="1"/>
    <col min="12290" max="12290" width="6.5703125" bestFit="1" customWidth="1"/>
    <col min="12291" max="12291" width="19.140625" customWidth="1"/>
    <col min="12292" max="12292" width="16.7109375" bestFit="1" customWidth="1"/>
    <col min="12293" max="12293" width="28.140625" bestFit="1" customWidth="1"/>
    <col min="12294" max="12294" width="15.5703125" customWidth="1"/>
    <col min="12295" max="12295" width="30.28515625" customWidth="1"/>
    <col min="12296" max="12296" width="15.5703125" customWidth="1"/>
    <col min="12298" max="12298" width="18.42578125" customWidth="1"/>
    <col min="12299" max="12299" width="21.5703125" customWidth="1"/>
    <col min="12300" max="12300" width="18.28515625" customWidth="1"/>
    <col min="12301" max="12301" width="21.42578125" bestFit="1" customWidth="1"/>
    <col min="12302" max="12302" width="16.7109375" customWidth="1"/>
    <col min="12303" max="12303" width="15.85546875" customWidth="1"/>
    <col min="12304" max="12304" width="14.7109375" customWidth="1"/>
    <col min="12305" max="12305" width="10.140625" bestFit="1" customWidth="1"/>
    <col min="12546" max="12546" width="6.5703125" bestFit="1" customWidth="1"/>
    <col min="12547" max="12547" width="19.140625" customWidth="1"/>
    <col min="12548" max="12548" width="16.7109375" bestFit="1" customWidth="1"/>
    <col min="12549" max="12549" width="28.140625" bestFit="1" customWidth="1"/>
    <col min="12550" max="12550" width="15.5703125" customWidth="1"/>
    <col min="12551" max="12551" width="30.28515625" customWidth="1"/>
    <col min="12552" max="12552" width="15.5703125" customWidth="1"/>
    <col min="12554" max="12554" width="18.42578125" customWidth="1"/>
    <col min="12555" max="12555" width="21.5703125" customWidth="1"/>
    <col min="12556" max="12556" width="18.28515625" customWidth="1"/>
    <col min="12557" max="12557" width="21.42578125" bestFit="1" customWidth="1"/>
    <col min="12558" max="12558" width="16.7109375" customWidth="1"/>
    <col min="12559" max="12559" width="15.85546875" customWidth="1"/>
    <col min="12560" max="12560" width="14.7109375" customWidth="1"/>
    <col min="12561" max="12561" width="10.140625" bestFit="1" customWidth="1"/>
    <col min="12802" max="12802" width="6.5703125" bestFit="1" customWidth="1"/>
    <col min="12803" max="12803" width="19.140625" customWidth="1"/>
    <col min="12804" max="12804" width="16.7109375" bestFit="1" customWidth="1"/>
    <col min="12805" max="12805" width="28.140625" bestFit="1" customWidth="1"/>
    <col min="12806" max="12806" width="15.5703125" customWidth="1"/>
    <col min="12807" max="12807" width="30.28515625" customWidth="1"/>
    <col min="12808" max="12808" width="15.5703125" customWidth="1"/>
    <col min="12810" max="12810" width="18.42578125" customWidth="1"/>
    <col min="12811" max="12811" width="21.5703125" customWidth="1"/>
    <col min="12812" max="12812" width="18.28515625" customWidth="1"/>
    <col min="12813" max="12813" width="21.42578125" bestFit="1" customWidth="1"/>
    <col min="12814" max="12814" width="16.7109375" customWidth="1"/>
    <col min="12815" max="12815" width="15.85546875" customWidth="1"/>
    <col min="12816" max="12816" width="14.7109375" customWidth="1"/>
    <col min="12817" max="12817" width="10.140625" bestFit="1" customWidth="1"/>
    <col min="13058" max="13058" width="6.5703125" bestFit="1" customWidth="1"/>
    <col min="13059" max="13059" width="19.140625" customWidth="1"/>
    <col min="13060" max="13060" width="16.7109375" bestFit="1" customWidth="1"/>
    <col min="13061" max="13061" width="28.140625" bestFit="1" customWidth="1"/>
    <col min="13062" max="13062" width="15.5703125" customWidth="1"/>
    <col min="13063" max="13063" width="30.28515625" customWidth="1"/>
    <col min="13064" max="13064" width="15.5703125" customWidth="1"/>
    <col min="13066" max="13066" width="18.42578125" customWidth="1"/>
    <col min="13067" max="13067" width="21.5703125" customWidth="1"/>
    <col min="13068" max="13068" width="18.28515625" customWidth="1"/>
    <col min="13069" max="13069" width="21.42578125" bestFit="1" customWidth="1"/>
    <col min="13070" max="13070" width="16.7109375" customWidth="1"/>
    <col min="13071" max="13071" width="15.85546875" customWidth="1"/>
    <col min="13072" max="13072" width="14.7109375" customWidth="1"/>
    <col min="13073" max="13073" width="10.140625" bestFit="1" customWidth="1"/>
    <col min="13314" max="13314" width="6.5703125" bestFit="1" customWidth="1"/>
    <col min="13315" max="13315" width="19.140625" customWidth="1"/>
    <col min="13316" max="13316" width="16.7109375" bestFit="1" customWidth="1"/>
    <col min="13317" max="13317" width="28.140625" bestFit="1" customWidth="1"/>
    <col min="13318" max="13318" width="15.5703125" customWidth="1"/>
    <col min="13319" max="13319" width="30.28515625" customWidth="1"/>
    <col min="13320" max="13320" width="15.5703125" customWidth="1"/>
    <col min="13322" max="13322" width="18.42578125" customWidth="1"/>
    <col min="13323" max="13323" width="21.5703125" customWidth="1"/>
    <col min="13324" max="13324" width="18.28515625" customWidth="1"/>
    <col min="13325" max="13325" width="21.42578125" bestFit="1" customWidth="1"/>
    <col min="13326" max="13326" width="16.7109375" customWidth="1"/>
    <col min="13327" max="13327" width="15.85546875" customWidth="1"/>
    <col min="13328" max="13328" width="14.7109375" customWidth="1"/>
    <col min="13329" max="13329" width="10.140625" bestFit="1" customWidth="1"/>
    <col min="13570" max="13570" width="6.5703125" bestFit="1" customWidth="1"/>
    <col min="13571" max="13571" width="19.140625" customWidth="1"/>
    <col min="13572" max="13572" width="16.7109375" bestFit="1" customWidth="1"/>
    <col min="13573" max="13573" width="28.140625" bestFit="1" customWidth="1"/>
    <col min="13574" max="13574" width="15.5703125" customWidth="1"/>
    <col min="13575" max="13575" width="30.28515625" customWidth="1"/>
    <col min="13576" max="13576" width="15.5703125" customWidth="1"/>
    <col min="13578" max="13578" width="18.42578125" customWidth="1"/>
    <col min="13579" max="13579" width="21.5703125" customWidth="1"/>
    <col min="13580" max="13580" width="18.28515625" customWidth="1"/>
    <col min="13581" max="13581" width="21.42578125" bestFit="1" customWidth="1"/>
    <col min="13582" max="13582" width="16.7109375" customWidth="1"/>
    <col min="13583" max="13583" width="15.85546875" customWidth="1"/>
    <col min="13584" max="13584" width="14.7109375" customWidth="1"/>
    <col min="13585" max="13585" width="10.140625" bestFit="1" customWidth="1"/>
    <col min="13826" max="13826" width="6.5703125" bestFit="1" customWidth="1"/>
    <col min="13827" max="13827" width="19.140625" customWidth="1"/>
    <col min="13828" max="13828" width="16.7109375" bestFit="1" customWidth="1"/>
    <col min="13829" max="13829" width="28.140625" bestFit="1" customWidth="1"/>
    <col min="13830" max="13830" width="15.5703125" customWidth="1"/>
    <col min="13831" max="13831" width="30.28515625" customWidth="1"/>
    <col min="13832" max="13832" width="15.5703125" customWidth="1"/>
    <col min="13834" max="13834" width="18.42578125" customWidth="1"/>
    <col min="13835" max="13835" width="21.5703125" customWidth="1"/>
    <col min="13836" max="13836" width="18.28515625" customWidth="1"/>
    <col min="13837" max="13837" width="21.42578125" bestFit="1" customWidth="1"/>
    <col min="13838" max="13838" width="16.7109375" customWidth="1"/>
    <col min="13839" max="13839" width="15.85546875" customWidth="1"/>
    <col min="13840" max="13840" width="14.7109375" customWidth="1"/>
    <col min="13841" max="13841" width="10.140625" bestFit="1" customWidth="1"/>
    <col min="14082" max="14082" width="6.5703125" bestFit="1" customWidth="1"/>
    <col min="14083" max="14083" width="19.140625" customWidth="1"/>
    <col min="14084" max="14084" width="16.7109375" bestFit="1" customWidth="1"/>
    <col min="14085" max="14085" width="28.140625" bestFit="1" customWidth="1"/>
    <col min="14086" max="14086" width="15.5703125" customWidth="1"/>
    <col min="14087" max="14087" width="30.28515625" customWidth="1"/>
    <col min="14088" max="14088" width="15.5703125" customWidth="1"/>
    <col min="14090" max="14090" width="18.42578125" customWidth="1"/>
    <col min="14091" max="14091" width="21.5703125" customWidth="1"/>
    <col min="14092" max="14092" width="18.28515625" customWidth="1"/>
    <col min="14093" max="14093" width="21.42578125" bestFit="1" customWidth="1"/>
    <col min="14094" max="14094" width="16.7109375" customWidth="1"/>
    <col min="14095" max="14095" width="15.85546875" customWidth="1"/>
    <col min="14096" max="14096" width="14.7109375" customWidth="1"/>
    <col min="14097" max="14097" width="10.140625" bestFit="1" customWidth="1"/>
    <col min="14338" max="14338" width="6.5703125" bestFit="1" customWidth="1"/>
    <col min="14339" max="14339" width="19.140625" customWidth="1"/>
    <col min="14340" max="14340" width="16.7109375" bestFit="1" customWidth="1"/>
    <col min="14341" max="14341" width="28.140625" bestFit="1" customWidth="1"/>
    <col min="14342" max="14342" width="15.5703125" customWidth="1"/>
    <col min="14343" max="14343" width="30.28515625" customWidth="1"/>
    <col min="14344" max="14344" width="15.5703125" customWidth="1"/>
    <col min="14346" max="14346" width="18.42578125" customWidth="1"/>
    <col min="14347" max="14347" width="21.5703125" customWidth="1"/>
    <col min="14348" max="14348" width="18.28515625" customWidth="1"/>
    <col min="14349" max="14349" width="21.42578125" bestFit="1" customWidth="1"/>
    <col min="14350" max="14350" width="16.7109375" customWidth="1"/>
    <col min="14351" max="14351" width="15.85546875" customWidth="1"/>
    <col min="14352" max="14352" width="14.7109375" customWidth="1"/>
    <col min="14353" max="14353" width="10.140625" bestFit="1" customWidth="1"/>
    <col min="14594" max="14594" width="6.5703125" bestFit="1" customWidth="1"/>
    <col min="14595" max="14595" width="19.140625" customWidth="1"/>
    <col min="14596" max="14596" width="16.7109375" bestFit="1" customWidth="1"/>
    <col min="14597" max="14597" width="28.140625" bestFit="1" customWidth="1"/>
    <col min="14598" max="14598" width="15.5703125" customWidth="1"/>
    <col min="14599" max="14599" width="30.28515625" customWidth="1"/>
    <col min="14600" max="14600" width="15.5703125" customWidth="1"/>
    <col min="14602" max="14602" width="18.42578125" customWidth="1"/>
    <col min="14603" max="14603" width="21.5703125" customWidth="1"/>
    <col min="14604" max="14604" width="18.28515625" customWidth="1"/>
    <col min="14605" max="14605" width="21.42578125" bestFit="1" customWidth="1"/>
    <col min="14606" max="14606" width="16.7109375" customWidth="1"/>
    <col min="14607" max="14607" width="15.85546875" customWidth="1"/>
    <col min="14608" max="14608" width="14.7109375" customWidth="1"/>
    <col min="14609" max="14609" width="10.140625" bestFit="1" customWidth="1"/>
    <col min="14850" max="14850" width="6.5703125" bestFit="1" customWidth="1"/>
    <col min="14851" max="14851" width="19.140625" customWidth="1"/>
    <col min="14852" max="14852" width="16.7109375" bestFit="1" customWidth="1"/>
    <col min="14853" max="14853" width="28.140625" bestFit="1" customWidth="1"/>
    <col min="14854" max="14854" width="15.5703125" customWidth="1"/>
    <col min="14855" max="14855" width="30.28515625" customWidth="1"/>
    <col min="14856" max="14856" width="15.5703125" customWidth="1"/>
    <col min="14858" max="14858" width="18.42578125" customWidth="1"/>
    <col min="14859" max="14859" width="21.5703125" customWidth="1"/>
    <col min="14860" max="14860" width="18.28515625" customWidth="1"/>
    <col min="14861" max="14861" width="21.42578125" bestFit="1" customWidth="1"/>
    <col min="14862" max="14862" width="16.7109375" customWidth="1"/>
    <col min="14863" max="14863" width="15.85546875" customWidth="1"/>
    <col min="14864" max="14864" width="14.7109375" customWidth="1"/>
    <col min="14865" max="14865" width="10.140625" bestFit="1" customWidth="1"/>
    <col min="15106" max="15106" width="6.5703125" bestFit="1" customWidth="1"/>
    <col min="15107" max="15107" width="19.140625" customWidth="1"/>
    <col min="15108" max="15108" width="16.7109375" bestFit="1" customWidth="1"/>
    <col min="15109" max="15109" width="28.140625" bestFit="1" customWidth="1"/>
    <col min="15110" max="15110" width="15.5703125" customWidth="1"/>
    <col min="15111" max="15111" width="30.28515625" customWidth="1"/>
    <col min="15112" max="15112" width="15.5703125" customWidth="1"/>
    <col min="15114" max="15114" width="18.42578125" customWidth="1"/>
    <col min="15115" max="15115" width="21.5703125" customWidth="1"/>
    <col min="15116" max="15116" width="18.28515625" customWidth="1"/>
    <col min="15117" max="15117" width="21.42578125" bestFit="1" customWidth="1"/>
    <col min="15118" max="15118" width="16.7109375" customWidth="1"/>
    <col min="15119" max="15119" width="15.85546875" customWidth="1"/>
    <col min="15120" max="15120" width="14.7109375" customWidth="1"/>
    <col min="15121" max="15121" width="10.140625" bestFit="1" customWidth="1"/>
    <col min="15362" max="15362" width="6.5703125" bestFit="1" customWidth="1"/>
    <col min="15363" max="15363" width="19.140625" customWidth="1"/>
    <col min="15364" max="15364" width="16.7109375" bestFit="1" customWidth="1"/>
    <col min="15365" max="15365" width="28.140625" bestFit="1" customWidth="1"/>
    <col min="15366" max="15366" width="15.5703125" customWidth="1"/>
    <col min="15367" max="15367" width="30.28515625" customWidth="1"/>
    <col min="15368" max="15368" width="15.5703125" customWidth="1"/>
    <col min="15370" max="15370" width="18.42578125" customWidth="1"/>
    <col min="15371" max="15371" width="21.5703125" customWidth="1"/>
    <col min="15372" max="15372" width="18.28515625" customWidth="1"/>
    <col min="15373" max="15373" width="21.42578125" bestFit="1" customWidth="1"/>
    <col min="15374" max="15374" width="16.7109375" customWidth="1"/>
    <col min="15375" max="15375" width="15.85546875" customWidth="1"/>
    <col min="15376" max="15376" width="14.7109375" customWidth="1"/>
    <col min="15377" max="15377" width="10.140625" bestFit="1" customWidth="1"/>
    <col min="15618" max="15618" width="6.5703125" bestFit="1" customWidth="1"/>
    <col min="15619" max="15619" width="19.140625" customWidth="1"/>
    <col min="15620" max="15620" width="16.7109375" bestFit="1" customWidth="1"/>
    <col min="15621" max="15621" width="28.140625" bestFit="1" customWidth="1"/>
    <col min="15622" max="15622" width="15.5703125" customWidth="1"/>
    <col min="15623" max="15623" width="30.28515625" customWidth="1"/>
    <col min="15624" max="15624" width="15.5703125" customWidth="1"/>
    <col min="15626" max="15626" width="18.42578125" customWidth="1"/>
    <col min="15627" max="15627" width="21.5703125" customWidth="1"/>
    <col min="15628" max="15628" width="18.28515625" customWidth="1"/>
    <col min="15629" max="15629" width="21.42578125" bestFit="1" customWidth="1"/>
    <col min="15630" max="15630" width="16.7109375" customWidth="1"/>
    <col min="15631" max="15631" width="15.85546875" customWidth="1"/>
    <col min="15632" max="15632" width="14.7109375" customWidth="1"/>
    <col min="15633" max="15633" width="10.140625" bestFit="1" customWidth="1"/>
    <col min="15874" max="15874" width="6.5703125" bestFit="1" customWidth="1"/>
    <col min="15875" max="15875" width="19.140625" customWidth="1"/>
    <col min="15876" max="15876" width="16.7109375" bestFit="1" customWidth="1"/>
    <col min="15877" max="15877" width="28.140625" bestFit="1" customWidth="1"/>
    <col min="15878" max="15878" width="15.5703125" customWidth="1"/>
    <col min="15879" max="15879" width="30.28515625" customWidth="1"/>
    <col min="15880" max="15880" width="15.5703125" customWidth="1"/>
    <col min="15882" max="15882" width="18.42578125" customWidth="1"/>
    <col min="15883" max="15883" width="21.5703125" customWidth="1"/>
    <col min="15884" max="15884" width="18.28515625" customWidth="1"/>
    <col min="15885" max="15885" width="21.42578125" bestFit="1" customWidth="1"/>
    <col min="15886" max="15886" width="16.7109375" customWidth="1"/>
    <col min="15887" max="15887" width="15.85546875" customWidth="1"/>
    <col min="15888" max="15888" width="14.7109375" customWidth="1"/>
    <col min="15889" max="15889" width="10.140625" bestFit="1" customWidth="1"/>
    <col min="16130" max="16130" width="6.5703125" bestFit="1" customWidth="1"/>
    <col min="16131" max="16131" width="19.140625" customWidth="1"/>
    <col min="16132" max="16132" width="16.7109375" bestFit="1" customWidth="1"/>
    <col min="16133" max="16133" width="28.140625" bestFit="1" customWidth="1"/>
    <col min="16134" max="16134" width="15.5703125" customWidth="1"/>
    <col min="16135" max="16135" width="30.28515625" customWidth="1"/>
    <col min="16136" max="16136" width="15.5703125" customWidth="1"/>
    <col min="16138" max="16138" width="18.42578125" customWidth="1"/>
    <col min="16139" max="16139" width="21.5703125" customWidth="1"/>
    <col min="16140" max="16140" width="18.28515625" customWidth="1"/>
    <col min="16141" max="16141" width="21.42578125" bestFit="1" customWidth="1"/>
    <col min="16142" max="16142" width="16.7109375" customWidth="1"/>
    <col min="16143" max="16143" width="15.85546875" customWidth="1"/>
    <col min="16144" max="16144" width="14.7109375" customWidth="1"/>
    <col min="16145" max="16145" width="10.140625" bestFit="1" customWidth="1"/>
  </cols>
  <sheetData>
    <row r="1" spans="2:17" ht="73.5" customHeight="1">
      <c r="B1" s="188" t="s">
        <v>139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2:17" ht="26.25" customHeight="1">
      <c r="B2" s="96" t="s">
        <v>0</v>
      </c>
      <c r="C2" s="97"/>
      <c r="D2" s="97"/>
      <c r="E2" s="97"/>
      <c r="F2" s="98"/>
      <c r="G2" s="98"/>
      <c r="H2" s="98"/>
      <c r="I2" s="189" t="s">
        <v>1</v>
      </c>
      <c r="J2" s="189"/>
      <c r="K2" s="189"/>
      <c r="L2" s="189"/>
      <c r="M2" s="99"/>
      <c r="N2" s="98"/>
      <c r="O2" s="98"/>
    </row>
    <row r="3" spans="2:17" ht="31.5">
      <c r="B3" s="12" t="s">
        <v>2</v>
      </c>
      <c r="C3" s="100" t="s">
        <v>140</v>
      </c>
      <c r="D3" s="101" t="s">
        <v>141</v>
      </c>
      <c r="E3" s="102" t="s">
        <v>142</v>
      </c>
      <c r="F3" s="98" t="s">
        <v>7</v>
      </c>
      <c r="G3" s="103" t="s">
        <v>143</v>
      </c>
      <c r="H3" s="103" t="s">
        <v>8</v>
      </c>
      <c r="I3" s="12" t="s">
        <v>2</v>
      </c>
      <c r="J3" s="12" t="s">
        <v>144</v>
      </c>
      <c r="K3" s="12" t="s">
        <v>145</v>
      </c>
      <c r="L3" s="104" t="s">
        <v>146</v>
      </c>
      <c r="M3" s="104" t="s">
        <v>147</v>
      </c>
      <c r="N3" s="105" t="s">
        <v>9</v>
      </c>
      <c r="O3" s="104" t="s">
        <v>10</v>
      </c>
    </row>
    <row r="4" spans="2:17" ht="15.75">
      <c r="B4" s="9"/>
      <c r="C4" s="9"/>
      <c r="D4" s="9"/>
      <c r="E4" s="106"/>
      <c r="F4" s="10"/>
      <c r="G4" s="106"/>
      <c r="H4" s="106"/>
      <c r="I4" s="9"/>
      <c r="J4" s="9"/>
      <c r="K4" s="9"/>
      <c r="L4" s="106"/>
      <c r="M4" s="106"/>
      <c r="N4" s="10"/>
      <c r="O4" s="106"/>
    </row>
    <row r="5" spans="2:17" ht="18.75">
      <c r="B5" s="9">
        <v>1</v>
      </c>
      <c r="C5" s="12" t="s">
        <v>11</v>
      </c>
      <c r="D5" s="107"/>
      <c r="E5" s="107"/>
      <c r="F5" s="108"/>
      <c r="G5" s="108"/>
      <c r="H5" s="13"/>
      <c r="I5" s="107">
        <v>1</v>
      </c>
      <c r="J5" s="12" t="s">
        <v>11</v>
      </c>
      <c r="K5" s="107"/>
      <c r="L5" s="107"/>
      <c r="M5" s="13"/>
      <c r="N5" s="108"/>
      <c r="O5" s="108"/>
    </row>
    <row r="6" spans="2:17" ht="18.75">
      <c r="B6" s="9"/>
      <c r="C6" s="12"/>
      <c r="D6" s="107"/>
      <c r="E6" s="107"/>
      <c r="F6" s="108"/>
      <c r="G6" s="108"/>
      <c r="H6" s="13"/>
      <c r="I6" s="107"/>
      <c r="J6" s="12"/>
      <c r="K6" s="107"/>
      <c r="L6" s="107"/>
      <c r="M6" s="9"/>
      <c r="N6" s="109"/>
      <c r="O6" s="109"/>
    </row>
    <row r="7" spans="2:17" ht="18.75">
      <c r="B7" s="9">
        <v>2</v>
      </c>
      <c r="C7" s="12" t="s">
        <v>83</v>
      </c>
      <c r="D7" s="107"/>
      <c r="E7" s="107"/>
      <c r="F7" s="108"/>
      <c r="G7" s="108"/>
      <c r="H7" s="13"/>
      <c r="I7" s="107">
        <v>2</v>
      </c>
      <c r="J7" s="12" t="s">
        <v>83</v>
      </c>
      <c r="K7" s="110"/>
      <c r="L7" s="110"/>
      <c r="M7" s="111"/>
      <c r="N7" s="108"/>
      <c r="O7" s="108"/>
    </row>
    <row r="8" spans="2:17" ht="18.75">
      <c r="B8" s="9"/>
      <c r="C8" s="12"/>
      <c r="D8" s="107"/>
      <c r="E8" s="107"/>
      <c r="F8" s="108"/>
      <c r="G8" s="108"/>
      <c r="H8" s="13"/>
      <c r="I8" s="107"/>
      <c r="J8" s="12"/>
      <c r="K8" s="110"/>
      <c r="L8" s="110"/>
      <c r="M8" s="111"/>
      <c r="N8" s="108"/>
      <c r="O8" s="108"/>
    </row>
    <row r="9" spans="2:17" ht="18.75">
      <c r="B9" s="9">
        <v>3</v>
      </c>
      <c r="C9" s="12" t="s">
        <v>113</v>
      </c>
      <c r="D9" s="107" t="s">
        <v>16</v>
      </c>
      <c r="E9" s="107">
        <v>231440.08000000002</v>
      </c>
      <c r="F9" s="108"/>
      <c r="G9" s="108"/>
      <c r="H9" s="13">
        <f>E9-G9</f>
        <v>231440.08000000002</v>
      </c>
      <c r="I9" s="107">
        <v>3</v>
      </c>
      <c r="J9" s="12" t="s">
        <v>113</v>
      </c>
      <c r="K9" s="107"/>
      <c r="L9" s="107"/>
      <c r="M9" s="13"/>
      <c r="N9" s="108"/>
      <c r="O9" s="108"/>
    </row>
    <row r="10" spans="2:17" ht="18.75">
      <c r="B10" s="9"/>
      <c r="C10" s="12"/>
      <c r="D10" s="107"/>
      <c r="E10" s="107"/>
      <c r="F10" s="108">
        <f>E9</f>
        <v>231440.08000000002</v>
      </c>
      <c r="G10" s="108"/>
      <c r="H10" s="13"/>
      <c r="I10" s="107"/>
      <c r="J10" s="12"/>
      <c r="K10" s="107"/>
      <c r="L10" s="107"/>
      <c r="M10" s="13"/>
      <c r="N10" s="108"/>
      <c r="O10" s="108"/>
    </row>
    <row r="11" spans="2:17" ht="18.75">
      <c r="B11" s="9">
        <v>4</v>
      </c>
      <c r="C11" s="12" t="s">
        <v>79</v>
      </c>
      <c r="D11" s="107"/>
      <c r="E11" s="107"/>
      <c r="F11" s="108"/>
      <c r="G11" s="108"/>
      <c r="H11" s="13"/>
      <c r="I11" s="107">
        <v>4</v>
      </c>
      <c r="J11" s="12" t="s">
        <v>79</v>
      </c>
      <c r="K11" s="107" t="s">
        <v>74</v>
      </c>
      <c r="L11" s="107">
        <v>11949.57</v>
      </c>
      <c r="M11" s="13"/>
      <c r="N11" s="108"/>
      <c r="O11" s="108"/>
      <c r="Q11" s="14"/>
    </row>
    <row r="12" spans="2:17" ht="18.75">
      <c r="B12" s="9"/>
      <c r="C12" s="12"/>
      <c r="D12" s="107"/>
      <c r="E12" s="107"/>
      <c r="F12" s="108"/>
      <c r="G12" s="108"/>
      <c r="H12" s="13"/>
      <c r="I12" s="107"/>
      <c r="J12" s="12"/>
      <c r="K12" s="107" t="s">
        <v>148</v>
      </c>
      <c r="L12" s="107">
        <v>41539.769999999997</v>
      </c>
      <c r="M12" s="13"/>
      <c r="N12" s="108"/>
      <c r="O12" s="108"/>
      <c r="Q12" s="14"/>
    </row>
    <row r="13" spans="2:17" ht="18.75">
      <c r="B13" s="9">
        <v>5</v>
      </c>
      <c r="C13" s="12" t="s">
        <v>149</v>
      </c>
      <c r="D13" s="107"/>
      <c r="E13" s="107"/>
      <c r="F13" s="108"/>
      <c r="G13" s="108"/>
      <c r="H13" s="108"/>
      <c r="I13" s="107">
        <v>5</v>
      </c>
      <c r="J13" s="12" t="s">
        <v>149</v>
      </c>
      <c r="K13" s="107"/>
      <c r="L13" s="107"/>
      <c r="M13" s="13"/>
      <c r="N13" s="108"/>
      <c r="O13" s="108"/>
    </row>
    <row r="14" spans="2:17" ht="18.75">
      <c r="B14" s="9"/>
      <c r="C14" s="12"/>
      <c r="D14" s="107"/>
      <c r="E14" s="107"/>
      <c r="F14" s="108"/>
      <c r="G14" s="108"/>
      <c r="H14" s="108"/>
      <c r="I14" s="107"/>
      <c r="J14" s="12"/>
      <c r="K14" s="107"/>
      <c r="L14" s="107"/>
      <c r="M14" s="13"/>
      <c r="N14" s="108"/>
      <c r="O14" s="108"/>
    </row>
    <row r="15" spans="2:17" ht="18.75">
      <c r="B15" s="9">
        <v>6</v>
      </c>
      <c r="C15" s="12" t="s">
        <v>74</v>
      </c>
      <c r="D15" s="107"/>
      <c r="E15" s="107"/>
      <c r="F15" s="108"/>
      <c r="G15" s="108"/>
      <c r="H15" s="13"/>
      <c r="I15" s="107">
        <v>6</v>
      </c>
      <c r="J15" s="12" t="s">
        <v>74</v>
      </c>
      <c r="K15" s="107" t="s">
        <v>113</v>
      </c>
      <c r="L15" s="107"/>
      <c r="M15" s="108"/>
      <c r="N15" s="108"/>
      <c r="O15" s="108">
        <f>L15-M15</f>
        <v>0</v>
      </c>
      <c r="Q15" s="14"/>
    </row>
    <row r="16" spans="2:17" ht="18.75">
      <c r="B16" s="112"/>
      <c r="C16" s="48"/>
      <c r="D16" s="107"/>
      <c r="E16" s="107"/>
      <c r="F16" s="108"/>
      <c r="G16" s="108"/>
      <c r="H16" s="13"/>
      <c r="I16" s="113"/>
      <c r="J16" s="48"/>
      <c r="K16" s="107"/>
      <c r="L16" s="107"/>
      <c r="M16" s="108"/>
      <c r="N16" s="108">
        <f>L15</f>
        <v>0</v>
      </c>
      <c r="O16" s="108"/>
    </row>
    <row r="17" spans="2:15" ht="18.75">
      <c r="B17" s="112">
        <v>7</v>
      </c>
      <c r="C17" s="48" t="s">
        <v>84</v>
      </c>
      <c r="D17" s="107"/>
      <c r="E17" s="107"/>
      <c r="F17" s="108"/>
      <c r="G17" s="108"/>
      <c r="H17" s="13"/>
      <c r="I17" s="113">
        <v>7</v>
      </c>
      <c r="J17" s="48" t="s">
        <v>84</v>
      </c>
      <c r="K17" s="107"/>
      <c r="L17" s="107"/>
      <c r="M17" s="13"/>
      <c r="N17" s="108"/>
      <c r="O17" s="108"/>
    </row>
    <row r="18" spans="2:15" ht="18.75">
      <c r="B18" s="112"/>
      <c r="C18" s="48"/>
      <c r="D18" s="107"/>
      <c r="E18" s="107"/>
      <c r="H18" s="13"/>
      <c r="I18" s="113"/>
      <c r="J18" s="48"/>
      <c r="K18" s="107"/>
      <c r="L18" s="107"/>
      <c r="M18" s="13"/>
      <c r="N18" s="108"/>
      <c r="O18" s="108"/>
    </row>
    <row r="19" spans="2:15" ht="18.75">
      <c r="B19" s="9">
        <v>8</v>
      </c>
      <c r="C19" s="12" t="s">
        <v>92</v>
      </c>
      <c r="D19" s="107"/>
      <c r="E19" s="107"/>
      <c r="F19" s="108"/>
      <c r="G19" s="108"/>
      <c r="H19" s="13"/>
      <c r="I19" s="107">
        <v>8</v>
      </c>
      <c r="J19" s="12" t="s">
        <v>92</v>
      </c>
      <c r="K19" s="114"/>
      <c r="L19" s="114"/>
      <c r="M19" s="115"/>
      <c r="N19" s="116"/>
      <c r="O19" s="116"/>
    </row>
    <row r="20" spans="2:15" ht="18.75">
      <c r="B20" s="9"/>
      <c r="C20" s="12"/>
      <c r="D20" s="107"/>
      <c r="E20" s="107"/>
      <c r="F20" s="108"/>
      <c r="G20" s="108"/>
      <c r="H20" s="13"/>
      <c r="I20" s="107"/>
      <c r="J20" s="12"/>
      <c r="K20" s="114"/>
      <c r="L20" s="114"/>
      <c r="M20" s="115"/>
      <c r="N20" s="108"/>
      <c r="O20" s="108"/>
    </row>
    <row r="21" spans="2:15" ht="18.75">
      <c r="B21" s="9">
        <v>9</v>
      </c>
      <c r="C21" s="12" t="s">
        <v>77</v>
      </c>
      <c r="D21" s="107" t="s">
        <v>125</v>
      </c>
      <c r="E21" s="107"/>
      <c r="F21" s="108"/>
      <c r="G21" s="108"/>
      <c r="H21" s="13">
        <f>E21-G21</f>
        <v>0</v>
      </c>
      <c r="I21" s="107">
        <v>9</v>
      </c>
      <c r="J21" s="12" t="s">
        <v>77</v>
      </c>
      <c r="K21" s="117"/>
      <c r="L21" s="117"/>
      <c r="M21" s="13"/>
      <c r="N21" s="108"/>
      <c r="O21" s="108"/>
    </row>
    <row r="22" spans="2:15" ht="18.75">
      <c r="B22" s="9"/>
      <c r="C22" s="12"/>
      <c r="D22" s="107"/>
      <c r="E22" s="107"/>
      <c r="F22" s="108">
        <f>E21</f>
        <v>0</v>
      </c>
      <c r="G22" s="108"/>
      <c r="H22" s="13"/>
      <c r="I22" s="107"/>
      <c r="J22" s="12"/>
      <c r="K22" s="118"/>
      <c r="L22" s="118"/>
      <c r="M22" s="13"/>
      <c r="N22" s="108"/>
      <c r="O22" s="108"/>
    </row>
    <row r="23" spans="2:15" ht="18.75">
      <c r="B23" s="9">
        <v>10</v>
      </c>
      <c r="C23" s="12" t="s">
        <v>76</v>
      </c>
      <c r="D23" s="107"/>
      <c r="E23" s="107"/>
      <c r="F23" s="108"/>
      <c r="G23" s="108"/>
      <c r="H23" s="13"/>
      <c r="I23" s="107">
        <v>10</v>
      </c>
      <c r="J23" s="12" t="s">
        <v>76</v>
      </c>
      <c r="K23" s="110"/>
      <c r="L23" s="110"/>
      <c r="M23" s="119"/>
      <c r="N23" s="108"/>
      <c r="O23" s="108"/>
    </row>
    <row r="24" spans="2:15" ht="18.75">
      <c r="B24" s="9"/>
      <c r="C24" s="12"/>
      <c r="D24" s="107"/>
      <c r="E24" s="107"/>
      <c r="F24" s="108"/>
      <c r="G24" s="108"/>
      <c r="H24" s="13"/>
      <c r="I24" s="107"/>
      <c r="J24" s="12"/>
      <c r="K24" s="110"/>
      <c r="L24" s="110"/>
      <c r="M24" s="13"/>
      <c r="N24" s="108"/>
      <c r="O24" s="108"/>
    </row>
    <row r="25" spans="2:15" ht="18.75">
      <c r="B25" s="9">
        <v>11</v>
      </c>
      <c r="C25" s="12" t="s">
        <v>150</v>
      </c>
      <c r="D25" s="107"/>
      <c r="E25" s="107"/>
      <c r="F25" s="108"/>
      <c r="G25" s="108"/>
      <c r="H25" s="13"/>
      <c r="I25" s="107">
        <v>11</v>
      </c>
      <c r="J25" s="12" t="s">
        <v>151</v>
      </c>
      <c r="K25" s="107"/>
      <c r="L25" s="107"/>
      <c r="M25" s="13"/>
      <c r="N25" s="108"/>
      <c r="O25" s="108"/>
    </row>
    <row r="26" spans="2:15" ht="18.75">
      <c r="B26" s="9"/>
      <c r="C26" s="12"/>
      <c r="D26" s="107"/>
      <c r="E26" s="107"/>
      <c r="F26" s="108"/>
      <c r="G26" s="108"/>
      <c r="H26" s="13"/>
      <c r="I26" s="107"/>
      <c r="J26" s="12"/>
      <c r="K26" s="107"/>
      <c r="L26" s="107"/>
      <c r="M26" s="13"/>
      <c r="N26" s="108"/>
      <c r="O26" s="108"/>
    </row>
    <row r="27" spans="2:15" ht="18.75">
      <c r="B27" s="9">
        <v>13</v>
      </c>
      <c r="C27" s="12" t="s">
        <v>107</v>
      </c>
      <c r="D27" s="107"/>
      <c r="E27" s="107"/>
      <c r="H27" s="13"/>
      <c r="I27" s="107">
        <v>13</v>
      </c>
      <c r="J27" s="12" t="s">
        <v>107</v>
      </c>
      <c r="K27" s="107"/>
      <c r="L27" s="107"/>
      <c r="M27" s="13"/>
      <c r="N27" s="108"/>
      <c r="O27" s="108"/>
    </row>
    <row r="28" spans="2:15" ht="18.75">
      <c r="B28" s="9"/>
      <c r="C28" s="12"/>
      <c r="D28" s="107"/>
      <c r="E28" s="107"/>
      <c r="F28" s="108"/>
      <c r="G28" s="108"/>
      <c r="H28" s="13"/>
      <c r="I28" s="107"/>
      <c r="J28" s="12"/>
      <c r="K28" s="107"/>
      <c r="L28" s="107"/>
      <c r="M28" s="13"/>
      <c r="N28" s="108"/>
      <c r="O28" s="108"/>
    </row>
    <row r="29" spans="2:15" ht="18.75">
      <c r="B29" s="9">
        <v>14</v>
      </c>
      <c r="C29" s="12" t="s">
        <v>152</v>
      </c>
      <c r="D29" s="107"/>
      <c r="E29" s="107"/>
      <c r="H29" s="13"/>
      <c r="I29" s="107">
        <v>14</v>
      </c>
      <c r="J29" s="12" t="s">
        <v>152</v>
      </c>
      <c r="K29" s="107"/>
      <c r="L29" s="107"/>
      <c r="M29" s="13"/>
      <c r="N29" s="108"/>
      <c r="O29" s="108"/>
    </row>
    <row r="30" spans="2:15" ht="18.75">
      <c r="B30" s="9"/>
      <c r="C30" s="12"/>
      <c r="D30" s="107"/>
      <c r="E30" s="107"/>
      <c r="F30" s="108"/>
      <c r="G30" s="108"/>
      <c r="H30" s="13"/>
      <c r="I30" s="107"/>
      <c r="J30" s="12"/>
      <c r="K30" s="107"/>
      <c r="L30" s="107"/>
      <c r="M30" s="13"/>
      <c r="N30" s="108"/>
      <c r="O30" s="108"/>
    </row>
    <row r="31" spans="2:15" ht="18.75">
      <c r="B31" s="9">
        <v>15</v>
      </c>
      <c r="C31" s="12" t="s">
        <v>80</v>
      </c>
      <c r="D31" s="107"/>
      <c r="E31" s="107"/>
      <c r="F31" s="108"/>
      <c r="G31" s="108"/>
      <c r="H31" s="13"/>
      <c r="I31" s="107">
        <v>15</v>
      </c>
      <c r="J31" s="12" t="s">
        <v>80</v>
      </c>
      <c r="K31" s="107"/>
      <c r="L31" s="107"/>
      <c r="M31" s="13"/>
      <c r="N31" s="108"/>
      <c r="O31" s="108"/>
    </row>
    <row r="32" spans="2:15" ht="18.75">
      <c r="B32" s="9"/>
      <c r="C32" s="12"/>
      <c r="D32" s="107"/>
      <c r="E32" s="107"/>
      <c r="F32" s="108"/>
      <c r="G32" s="108"/>
      <c r="H32" s="13"/>
      <c r="I32" s="107"/>
      <c r="J32" s="12"/>
      <c r="K32" s="107"/>
      <c r="L32" s="107"/>
      <c r="M32" s="13"/>
      <c r="N32" s="108"/>
      <c r="O32" s="108"/>
    </row>
    <row r="33" spans="2:15" ht="18.75">
      <c r="B33" s="9">
        <v>15</v>
      </c>
      <c r="C33" s="12" t="s">
        <v>153</v>
      </c>
      <c r="D33" s="107"/>
      <c r="E33" s="107"/>
      <c r="F33" s="108"/>
      <c r="G33" s="108"/>
      <c r="H33" s="13"/>
      <c r="I33" s="107">
        <v>16</v>
      </c>
      <c r="J33" s="12" t="s">
        <v>153</v>
      </c>
      <c r="K33" s="107"/>
      <c r="L33" s="107"/>
      <c r="M33" s="13"/>
      <c r="N33" s="108"/>
      <c r="O33" s="108"/>
    </row>
    <row r="34" spans="2:15" ht="18.75">
      <c r="B34" s="9"/>
      <c r="C34" s="12"/>
      <c r="D34" s="107"/>
      <c r="E34" s="107"/>
      <c r="F34" s="108"/>
      <c r="G34" s="108"/>
      <c r="H34" s="120"/>
      <c r="I34" s="107"/>
      <c r="J34" s="12"/>
      <c r="K34" s="107"/>
      <c r="L34" s="107"/>
      <c r="M34" s="13"/>
      <c r="N34" s="108"/>
      <c r="O34" s="108"/>
    </row>
    <row r="35" spans="2:15" ht="18.75">
      <c r="B35" s="9">
        <v>16</v>
      </c>
      <c r="C35" s="12" t="s">
        <v>88</v>
      </c>
      <c r="D35" s="107"/>
      <c r="E35" s="107"/>
      <c r="F35" s="108"/>
      <c r="G35" s="108"/>
      <c r="H35" s="13"/>
      <c r="I35" s="107">
        <v>17</v>
      </c>
      <c r="J35" s="12" t="s">
        <v>88</v>
      </c>
      <c r="K35" s="107"/>
      <c r="L35" s="107"/>
      <c r="M35" s="13"/>
      <c r="N35" s="108"/>
      <c r="O35" s="108"/>
    </row>
    <row r="36" spans="2:15" ht="18.75">
      <c r="B36" s="9"/>
      <c r="C36" s="12"/>
      <c r="D36" s="107"/>
      <c r="E36" s="107"/>
      <c r="F36" s="108"/>
      <c r="G36" s="108"/>
      <c r="H36" s="13"/>
      <c r="I36" s="107"/>
      <c r="J36" s="12"/>
      <c r="K36" s="107"/>
      <c r="L36" s="107"/>
      <c r="M36" s="121"/>
      <c r="N36" s="108"/>
      <c r="O36" s="108"/>
    </row>
    <row r="37" spans="2:15" ht="18.75">
      <c r="B37" s="9">
        <v>17</v>
      </c>
      <c r="C37" s="12" t="s">
        <v>125</v>
      </c>
      <c r="D37" s="107"/>
      <c r="E37" s="107"/>
      <c r="F37" s="108"/>
      <c r="G37" s="108"/>
      <c r="H37" s="13"/>
      <c r="I37" s="107">
        <v>18</v>
      </c>
      <c r="J37" s="12" t="s">
        <v>125</v>
      </c>
      <c r="K37" s="107" t="s">
        <v>102</v>
      </c>
      <c r="L37" s="107">
        <v>49098.6</v>
      </c>
      <c r="M37" s="121"/>
      <c r="N37" s="108"/>
      <c r="O37" s="108">
        <f>L37-M37</f>
        <v>49098.6</v>
      </c>
    </row>
    <row r="38" spans="2:15" ht="18.75">
      <c r="B38" s="9"/>
      <c r="C38" s="12"/>
      <c r="D38" s="107"/>
      <c r="E38" s="107"/>
      <c r="F38" s="108"/>
      <c r="G38" s="108"/>
      <c r="H38" s="13"/>
      <c r="I38" s="107"/>
      <c r="J38" s="12"/>
      <c r="K38" s="107"/>
      <c r="L38" s="107"/>
      <c r="M38" s="121"/>
      <c r="N38" s="108">
        <f>L37+L38</f>
        <v>49098.6</v>
      </c>
      <c r="O38" s="108">
        <f>L38-M38</f>
        <v>0</v>
      </c>
    </row>
    <row r="39" spans="2:15" ht="18.75">
      <c r="B39" s="9">
        <v>18</v>
      </c>
      <c r="C39" s="12" t="s">
        <v>102</v>
      </c>
      <c r="D39" s="107" t="s">
        <v>125</v>
      </c>
      <c r="E39" s="107"/>
      <c r="F39" s="108"/>
      <c r="G39" s="108"/>
      <c r="H39" s="13">
        <f>E39-G39</f>
        <v>0</v>
      </c>
      <c r="I39" s="107">
        <v>19</v>
      </c>
      <c r="J39" s="12" t="s">
        <v>102</v>
      </c>
      <c r="K39" s="107"/>
      <c r="L39" s="107"/>
      <c r="M39" s="13"/>
      <c r="N39" s="108"/>
      <c r="O39" s="108"/>
    </row>
    <row r="40" spans="2:15" ht="18.75">
      <c r="B40" s="9"/>
      <c r="C40" s="12"/>
      <c r="D40" s="107"/>
      <c r="E40" s="107"/>
      <c r="F40" s="108"/>
      <c r="G40" s="108"/>
      <c r="H40" s="13"/>
      <c r="I40" s="107"/>
      <c r="J40" s="12"/>
      <c r="K40" s="107"/>
      <c r="L40" s="107"/>
      <c r="M40" s="13"/>
      <c r="N40" s="108"/>
      <c r="O40" s="108"/>
    </row>
    <row r="41" spans="2:15" ht="18.75">
      <c r="B41" s="9"/>
      <c r="C41" s="12"/>
      <c r="D41" s="107"/>
      <c r="E41" s="107"/>
      <c r="F41" s="108"/>
      <c r="G41" s="108"/>
      <c r="H41" s="13"/>
      <c r="I41" s="107"/>
      <c r="J41" s="12"/>
      <c r="K41" s="107"/>
      <c r="L41" s="107"/>
      <c r="M41" s="13"/>
      <c r="N41" s="108"/>
      <c r="O41" s="108"/>
    </row>
    <row r="42" spans="2:15" ht="18.75">
      <c r="B42" s="9">
        <v>19</v>
      </c>
      <c r="C42" s="12" t="s">
        <v>103</v>
      </c>
      <c r="D42" s="107"/>
      <c r="E42" s="107"/>
      <c r="F42" s="108"/>
      <c r="G42" s="108"/>
      <c r="H42" s="13"/>
      <c r="I42" s="107">
        <v>20</v>
      </c>
      <c r="J42" s="12" t="s">
        <v>103</v>
      </c>
      <c r="K42" s="107"/>
      <c r="L42" s="107"/>
      <c r="M42" s="13"/>
      <c r="N42" s="108"/>
      <c r="O42" s="108"/>
    </row>
    <row r="43" spans="2:15" ht="18.75">
      <c r="B43" s="9"/>
      <c r="C43" s="12"/>
      <c r="D43" s="107"/>
      <c r="E43" s="107"/>
      <c r="F43" s="108"/>
      <c r="G43" s="108"/>
      <c r="H43" s="13"/>
      <c r="I43" s="107"/>
      <c r="J43" s="12"/>
      <c r="K43" s="107"/>
      <c r="L43" s="107"/>
      <c r="M43" s="13"/>
      <c r="N43" s="108"/>
      <c r="O43" s="108"/>
    </row>
    <row r="44" spans="2:15" ht="18.75">
      <c r="B44" s="9"/>
      <c r="C44" s="12"/>
      <c r="D44" s="107"/>
      <c r="E44" s="107"/>
      <c r="F44" s="108"/>
      <c r="G44" s="108"/>
      <c r="H44" s="13"/>
      <c r="I44" s="107"/>
      <c r="J44" s="12"/>
      <c r="K44" s="107"/>
      <c r="L44" s="107"/>
      <c r="M44" s="13"/>
      <c r="N44" s="108"/>
      <c r="O44" s="108"/>
    </row>
    <row r="45" spans="2:15" ht="18.75">
      <c r="B45" s="9">
        <v>20</v>
      </c>
      <c r="C45" s="12" t="s">
        <v>70</v>
      </c>
      <c r="D45" s="107"/>
      <c r="E45" s="107"/>
      <c r="F45" s="108"/>
      <c r="G45" s="108"/>
      <c r="H45" s="13"/>
      <c r="I45" s="107">
        <v>21</v>
      </c>
      <c r="J45" s="12" t="s">
        <v>70</v>
      </c>
      <c r="K45" s="107"/>
      <c r="L45" s="107"/>
      <c r="M45" s="13"/>
      <c r="N45" s="108"/>
      <c r="O45" s="108"/>
    </row>
    <row r="46" spans="2:15" ht="18.75">
      <c r="B46" s="9"/>
      <c r="C46" s="12"/>
      <c r="D46" s="107"/>
      <c r="E46" s="107"/>
      <c r="F46" s="108"/>
      <c r="G46" s="108"/>
      <c r="H46" s="13"/>
      <c r="I46" s="107"/>
      <c r="J46" s="12"/>
      <c r="K46" s="107"/>
      <c r="L46" s="107"/>
      <c r="M46" s="13"/>
      <c r="N46" s="108"/>
      <c r="O46" s="108"/>
    </row>
    <row r="47" spans="2:15" ht="18.75">
      <c r="B47" s="9">
        <v>21</v>
      </c>
      <c r="C47" s="12" t="s">
        <v>101</v>
      </c>
      <c r="D47" s="107"/>
      <c r="E47" s="107"/>
      <c r="F47" s="108"/>
      <c r="G47" s="108"/>
      <c r="H47" s="13"/>
      <c r="I47" s="107">
        <v>22</v>
      </c>
      <c r="J47" s="12" t="s">
        <v>101</v>
      </c>
      <c r="K47" s="107"/>
      <c r="L47" s="107"/>
      <c r="M47" s="13"/>
      <c r="N47" s="108"/>
      <c r="O47" s="108"/>
    </row>
    <row r="48" spans="2:15" ht="18.75">
      <c r="B48" s="9"/>
      <c r="C48" s="12"/>
      <c r="D48" s="107"/>
      <c r="E48" s="107"/>
      <c r="F48" s="108"/>
      <c r="G48" s="108"/>
      <c r="H48" s="13"/>
      <c r="I48" s="107"/>
      <c r="J48" s="12"/>
      <c r="K48" s="107"/>
      <c r="L48" s="107"/>
      <c r="M48" s="13"/>
      <c r="N48" s="108"/>
      <c r="O48" s="108"/>
    </row>
    <row r="49" spans="2:15" ht="18.75">
      <c r="B49" s="9">
        <v>22</v>
      </c>
      <c r="C49" s="12" t="s">
        <v>132</v>
      </c>
      <c r="D49" s="107"/>
      <c r="E49" s="107"/>
      <c r="F49" s="108"/>
      <c r="G49" s="108"/>
      <c r="H49" s="13"/>
      <c r="I49" s="107">
        <v>23</v>
      </c>
      <c r="J49" s="12" t="s">
        <v>132</v>
      </c>
      <c r="K49" s="107"/>
      <c r="L49" s="107"/>
      <c r="M49" s="13"/>
      <c r="N49" s="108"/>
      <c r="O49" s="108"/>
    </row>
    <row r="50" spans="2:15" ht="18.75">
      <c r="B50" s="9"/>
      <c r="C50" s="12"/>
      <c r="D50" s="107"/>
      <c r="E50" s="107"/>
      <c r="F50" s="108"/>
      <c r="G50" s="108"/>
      <c r="H50" s="13"/>
      <c r="I50" s="107"/>
      <c r="J50" s="12"/>
      <c r="K50" s="107"/>
      <c r="L50" s="107"/>
      <c r="M50" s="13"/>
      <c r="N50" s="108"/>
      <c r="O50" s="108"/>
    </row>
    <row r="51" spans="2:15" ht="18.75">
      <c r="B51" s="9">
        <v>23</v>
      </c>
      <c r="C51" s="12" t="s">
        <v>62</v>
      </c>
      <c r="D51" s="107"/>
      <c r="E51" s="107"/>
      <c r="F51" s="108"/>
      <c r="G51" s="108"/>
      <c r="H51" s="13"/>
      <c r="I51" s="107">
        <v>24</v>
      </c>
      <c r="J51" s="12" t="s">
        <v>62</v>
      </c>
      <c r="K51" s="107"/>
      <c r="L51" s="107"/>
      <c r="M51" s="13"/>
      <c r="N51" s="108"/>
      <c r="O51" s="108"/>
    </row>
    <row r="52" spans="2:15" ht="18.75">
      <c r="B52" s="9"/>
      <c r="C52" s="12"/>
      <c r="D52" s="107"/>
      <c r="E52" s="107"/>
      <c r="F52" s="122"/>
      <c r="G52" s="122"/>
      <c r="H52" s="13"/>
      <c r="I52" s="107"/>
      <c r="J52" s="12"/>
      <c r="K52" s="107"/>
      <c r="L52" s="107"/>
      <c r="M52" s="13"/>
      <c r="N52" s="108"/>
      <c r="O52" s="108"/>
    </row>
    <row r="53" spans="2:15" ht="18.75">
      <c r="B53" s="9">
        <v>24</v>
      </c>
      <c r="C53" s="12" t="s">
        <v>134</v>
      </c>
      <c r="D53" s="107"/>
      <c r="E53" s="107"/>
      <c r="F53" s="108"/>
      <c r="G53" s="108"/>
      <c r="H53" s="13"/>
      <c r="I53" s="107">
        <v>25</v>
      </c>
      <c r="J53" s="12" t="s">
        <v>134</v>
      </c>
      <c r="K53" s="107"/>
      <c r="L53" s="107"/>
      <c r="M53" s="13"/>
      <c r="N53" s="108"/>
      <c r="O53" s="108"/>
    </row>
    <row r="54" spans="2:15" ht="18.75">
      <c r="B54" s="9"/>
      <c r="C54" s="12"/>
      <c r="D54" s="107"/>
      <c r="E54" s="107"/>
      <c r="H54" s="13"/>
      <c r="I54" s="107"/>
      <c r="J54" s="12"/>
      <c r="K54" s="107"/>
      <c r="L54" s="107"/>
      <c r="M54" s="13"/>
      <c r="N54" s="108"/>
      <c r="O54" s="108"/>
    </row>
    <row r="55" spans="2:15" ht="18.75">
      <c r="B55" s="9"/>
      <c r="C55" s="12"/>
      <c r="D55" s="107"/>
      <c r="E55" s="107"/>
      <c r="F55" s="108"/>
      <c r="G55" s="108"/>
      <c r="H55" s="13"/>
      <c r="I55" s="107"/>
      <c r="J55" s="12"/>
      <c r="K55" s="107"/>
      <c r="L55" s="107"/>
      <c r="M55" s="13"/>
      <c r="N55" s="108"/>
      <c r="O55" s="108"/>
    </row>
    <row r="56" spans="2:15" ht="18.75">
      <c r="B56" s="9">
        <v>25</v>
      </c>
      <c r="C56" s="12" t="s">
        <v>154</v>
      </c>
      <c r="D56" s="107"/>
      <c r="E56" s="107"/>
      <c r="H56" s="13"/>
      <c r="I56" s="107">
        <v>26</v>
      </c>
      <c r="J56" s="12" t="s">
        <v>154</v>
      </c>
      <c r="K56" s="107"/>
      <c r="L56" s="107"/>
      <c r="M56" s="13"/>
      <c r="N56" s="108"/>
      <c r="O56" s="108"/>
    </row>
    <row r="57" spans="2:15" ht="18.75">
      <c r="B57" s="9"/>
      <c r="C57" s="12"/>
      <c r="D57" s="107"/>
      <c r="E57" s="107"/>
      <c r="F57" s="108"/>
      <c r="G57" s="108"/>
      <c r="H57" s="13"/>
      <c r="I57" s="107"/>
      <c r="J57" s="12"/>
      <c r="K57" s="107"/>
      <c r="L57" s="107"/>
      <c r="M57" s="13"/>
      <c r="N57" s="108"/>
      <c r="O57" s="108"/>
    </row>
    <row r="58" spans="2:15" ht="18.75">
      <c r="B58" s="9">
        <v>27</v>
      </c>
      <c r="C58" s="12" t="s">
        <v>155</v>
      </c>
      <c r="D58" s="107"/>
      <c r="E58" s="107"/>
      <c r="F58" s="108"/>
      <c r="G58" s="108"/>
      <c r="H58" s="123"/>
      <c r="I58" s="107">
        <v>27</v>
      </c>
      <c r="J58" s="12" t="s">
        <v>155</v>
      </c>
      <c r="K58" s="107"/>
      <c r="L58" s="107"/>
      <c r="M58" s="13"/>
      <c r="N58" s="108"/>
      <c r="O58" s="108"/>
    </row>
    <row r="59" spans="2:15" ht="18.75">
      <c r="B59" s="9"/>
      <c r="C59" s="12"/>
      <c r="D59" s="124"/>
      <c r="E59" s="124"/>
      <c r="F59" s="108"/>
      <c r="G59" s="108"/>
      <c r="H59" s="13"/>
      <c r="I59" s="107"/>
      <c r="J59" s="12"/>
      <c r="K59" s="107"/>
      <c r="L59" s="107"/>
      <c r="M59" s="13"/>
      <c r="N59" s="108"/>
      <c r="O59" s="108"/>
    </row>
    <row r="60" spans="2:15" ht="18.75">
      <c r="B60" s="9">
        <v>28</v>
      </c>
      <c r="C60" s="12" t="s">
        <v>63</v>
      </c>
      <c r="D60" s="107"/>
      <c r="E60" s="107"/>
      <c r="F60" s="108"/>
      <c r="G60" s="108"/>
      <c r="H60" s="13"/>
      <c r="I60" s="107">
        <v>28</v>
      </c>
      <c r="J60" s="12" t="s">
        <v>63</v>
      </c>
      <c r="K60" s="107"/>
      <c r="L60" s="107"/>
      <c r="M60" s="115"/>
      <c r="N60" s="108"/>
      <c r="O60" s="108"/>
    </row>
    <row r="61" spans="2:15" ht="18.75">
      <c r="B61" s="9"/>
      <c r="C61" s="12"/>
      <c r="D61" s="107"/>
      <c r="E61" s="107"/>
      <c r="F61" s="108"/>
      <c r="G61" s="108"/>
      <c r="H61" s="13"/>
      <c r="I61" s="107"/>
      <c r="J61" s="12"/>
      <c r="K61" s="107"/>
      <c r="L61" s="107"/>
      <c r="M61" s="13"/>
      <c r="N61" s="108"/>
      <c r="O61" s="108"/>
    </row>
    <row r="62" spans="2:15" ht="18.75">
      <c r="B62" s="9">
        <v>29</v>
      </c>
      <c r="C62" s="12" t="s">
        <v>104</v>
      </c>
      <c r="D62" s="107"/>
      <c r="E62" s="107"/>
      <c r="F62" s="108"/>
      <c r="G62" s="108"/>
      <c r="H62" s="13"/>
      <c r="I62" s="107">
        <v>29</v>
      </c>
      <c r="J62" s="12" t="s">
        <v>104</v>
      </c>
      <c r="K62" s="107"/>
      <c r="L62" s="107"/>
      <c r="M62" s="13"/>
      <c r="N62" s="108"/>
      <c r="O62" s="108"/>
    </row>
    <row r="63" spans="2:15" ht="18.75">
      <c r="B63" s="9"/>
      <c r="C63" s="12"/>
      <c r="D63" s="107"/>
      <c r="E63" s="107"/>
      <c r="F63" s="108"/>
      <c r="G63" s="108"/>
      <c r="H63" s="13"/>
      <c r="I63" s="107"/>
      <c r="J63" s="12"/>
      <c r="K63" s="107"/>
      <c r="L63" s="107"/>
      <c r="M63" s="13"/>
      <c r="N63" s="108"/>
      <c r="O63" s="108"/>
    </row>
    <row r="64" spans="2:15" ht="18.75">
      <c r="B64" s="9">
        <v>30</v>
      </c>
      <c r="C64" s="12" t="s">
        <v>114</v>
      </c>
      <c r="D64" s="107"/>
      <c r="E64" s="107"/>
      <c r="F64" s="108"/>
      <c r="G64" s="108"/>
      <c r="H64" s="13"/>
      <c r="I64" s="107">
        <v>30</v>
      </c>
      <c r="J64" s="12" t="s">
        <v>114</v>
      </c>
      <c r="K64" s="107"/>
      <c r="L64" s="107"/>
      <c r="M64" s="13"/>
      <c r="N64" s="108"/>
      <c r="O64" s="108"/>
    </row>
    <row r="65" spans="2:15" ht="18.75">
      <c r="B65" s="9"/>
      <c r="C65" s="12"/>
      <c r="D65" s="107"/>
      <c r="E65" s="107"/>
      <c r="F65" s="108"/>
      <c r="G65" s="108"/>
      <c r="H65" s="13"/>
      <c r="I65" s="107"/>
      <c r="J65" s="12"/>
      <c r="K65" s="107"/>
      <c r="L65" s="107"/>
      <c r="M65" s="13"/>
      <c r="N65" s="108"/>
      <c r="O65" s="108"/>
    </row>
    <row r="66" spans="2:15" ht="18.75">
      <c r="B66" s="9">
        <v>31</v>
      </c>
      <c r="C66" s="12" t="s">
        <v>116</v>
      </c>
      <c r="D66" s="107"/>
      <c r="E66" s="107"/>
      <c r="F66" s="108"/>
      <c r="G66" s="108"/>
      <c r="H66" s="13"/>
      <c r="I66" s="107">
        <v>31</v>
      </c>
      <c r="J66" s="12" t="s">
        <v>116</v>
      </c>
      <c r="K66" s="107"/>
      <c r="L66" s="107"/>
      <c r="M66" s="13"/>
      <c r="N66" s="13"/>
      <c r="O66" s="13"/>
    </row>
    <row r="67" spans="2:15" ht="18.75">
      <c r="B67" s="9"/>
      <c r="C67" s="12"/>
      <c r="D67" s="125"/>
      <c r="E67" s="125"/>
      <c r="F67" s="108"/>
      <c r="G67" s="108"/>
      <c r="H67" s="13"/>
      <c r="I67" s="107"/>
      <c r="J67" s="12"/>
      <c r="K67" s="107"/>
      <c r="L67" s="107"/>
      <c r="M67" s="13"/>
      <c r="N67" s="13"/>
      <c r="O67" s="13"/>
    </row>
    <row r="68" spans="2:15" ht="18.75">
      <c r="B68" s="9">
        <v>32</v>
      </c>
      <c r="C68" s="12" t="s">
        <v>117</v>
      </c>
      <c r="D68" s="125"/>
      <c r="E68" s="125"/>
      <c r="F68" s="108"/>
      <c r="G68" s="108"/>
      <c r="H68" s="13"/>
      <c r="I68" s="107">
        <v>32</v>
      </c>
      <c r="J68" s="12" t="s">
        <v>117</v>
      </c>
      <c r="K68" s="107"/>
      <c r="L68" s="107"/>
      <c r="M68" s="13"/>
      <c r="N68" s="108"/>
      <c r="O68" s="108"/>
    </row>
    <row r="69" spans="2:15" ht="18.75">
      <c r="B69" s="9"/>
      <c r="C69" s="12"/>
      <c r="D69" s="125"/>
      <c r="E69" s="125"/>
      <c r="F69" s="108"/>
      <c r="G69" s="108"/>
      <c r="H69" s="13"/>
      <c r="I69" s="107"/>
      <c r="J69" s="12"/>
      <c r="K69" s="107"/>
      <c r="L69" s="107"/>
      <c r="M69" s="13"/>
      <c r="N69" s="108"/>
      <c r="O69" s="108"/>
    </row>
    <row r="70" spans="2:15" ht="18.75">
      <c r="B70" s="9">
        <v>33</v>
      </c>
      <c r="C70" s="12" t="s">
        <v>156</v>
      </c>
      <c r="D70" s="107"/>
      <c r="E70" s="107"/>
      <c r="F70" s="108"/>
      <c r="G70" s="108"/>
      <c r="H70" s="13"/>
      <c r="I70" s="107">
        <v>33</v>
      </c>
      <c r="J70" s="12" t="s">
        <v>98</v>
      </c>
      <c r="K70" s="107"/>
      <c r="L70" s="126"/>
      <c r="M70" s="127"/>
      <c r="N70" s="108"/>
      <c r="O70" s="108"/>
    </row>
    <row r="71" spans="2:15" ht="18.75">
      <c r="B71" s="9"/>
      <c r="C71" s="12"/>
      <c r="D71" s="107"/>
      <c r="E71" s="107"/>
      <c r="F71" s="108"/>
      <c r="G71" s="108"/>
      <c r="H71" s="13"/>
      <c r="I71" s="107"/>
      <c r="J71" s="12"/>
      <c r="K71" s="107"/>
      <c r="L71" s="107"/>
      <c r="M71" s="13"/>
      <c r="N71" s="108"/>
      <c r="O71" s="108"/>
    </row>
    <row r="72" spans="2:15" ht="18.75">
      <c r="B72" s="9">
        <v>35</v>
      </c>
      <c r="C72" s="12" t="s">
        <v>111</v>
      </c>
      <c r="D72" s="107"/>
      <c r="E72" s="107"/>
      <c r="F72" s="9"/>
      <c r="G72" s="9"/>
      <c r="H72" s="13"/>
      <c r="I72" s="107">
        <v>35</v>
      </c>
      <c r="J72" s="12" t="s">
        <v>111</v>
      </c>
      <c r="K72" s="107"/>
      <c r="L72" s="107"/>
      <c r="M72" s="13"/>
      <c r="N72" s="108"/>
      <c r="O72" s="108"/>
    </row>
    <row r="73" spans="2:15" ht="18.75">
      <c r="B73" s="9"/>
      <c r="C73" s="12"/>
      <c r="D73" s="12"/>
      <c r="E73" s="12"/>
      <c r="F73" s="108"/>
      <c r="G73" s="108"/>
      <c r="H73" s="13"/>
      <c r="I73" s="107"/>
      <c r="J73" s="12"/>
      <c r="K73" s="107"/>
      <c r="L73" s="107"/>
      <c r="M73" s="13"/>
      <c r="N73" s="108"/>
      <c r="O73" s="108"/>
    </row>
    <row r="74" spans="2:15" ht="18.75">
      <c r="B74" s="9">
        <v>36</v>
      </c>
      <c r="C74" s="12" t="s">
        <v>112</v>
      </c>
      <c r="D74" s="107"/>
      <c r="E74" s="107"/>
      <c r="F74" s="9"/>
      <c r="G74" s="9"/>
      <c r="H74" s="13"/>
      <c r="I74" s="107">
        <v>36</v>
      </c>
      <c r="J74" s="12" t="s">
        <v>112</v>
      </c>
      <c r="K74" s="107"/>
      <c r="L74" s="107"/>
      <c r="M74" s="13"/>
      <c r="N74" s="108"/>
      <c r="O74" s="108"/>
    </row>
    <row r="75" spans="2:15" ht="18.75">
      <c r="B75" s="9"/>
      <c r="C75" s="12"/>
      <c r="D75" s="107"/>
      <c r="E75" s="107"/>
      <c r="F75" s="109"/>
      <c r="G75" s="109"/>
      <c r="H75" s="13"/>
      <c r="I75" s="107"/>
      <c r="J75" s="12"/>
      <c r="K75" s="107"/>
      <c r="L75" s="107"/>
      <c r="M75" s="13"/>
      <c r="N75" s="108"/>
      <c r="O75" s="108"/>
    </row>
    <row r="76" spans="2:15" ht="18.75">
      <c r="B76" s="9">
        <v>37</v>
      </c>
      <c r="C76" s="12" t="s">
        <v>99</v>
      </c>
      <c r="D76" s="107"/>
      <c r="E76" s="107"/>
      <c r="F76" s="108"/>
      <c r="G76" s="108"/>
      <c r="H76" s="13"/>
      <c r="I76" s="107">
        <v>37</v>
      </c>
      <c r="J76" s="12" t="s">
        <v>99</v>
      </c>
      <c r="K76" s="107"/>
      <c r="L76" s="107"/>
      <c r="M76" s="108"/>
      <c r="N76" s="108"/>
      <c r="O76" s="108"/>
    </row>
    <row r="77" spans="2:15" ht="18.75">
      <c r="B77" s="9"/>
      <c r="C77" s="12"/>
      <c r="D77" s="107"/>
      <c r="E77" s="107"/>
      <c r="F77" s="108"/>
      <c r="G77" s="108"/>
      <c r="H77" s="13"/>
      <c r="I77" s="107"/>
      <c r="J77" s="12"/>
      <c r="N77" s="14"/>
      <c r="O77" s="14"/>
    </row>
    <row r="78" spans="2:15" ht="18.75">
      <c r="B78" s="128">
        <v>38</v>
      </c>
      <c r="C78" s="12" t="s">
        <v>81</v>
      </c>
      <c r="D78" s="107"/>
      <c r="E78" s="107"/>
      <c r="F78" s="108"/>
      <c r="G78" s="108"/>
      <c r="H78" s="13"/>
      <c r="I78" s="12">
        <v>38</v>
      </c>
      <c r="J78" s="12" t="s">
        <v>81</v>
      </c>
      <c r="K78" s="107"/>
      <c r="L78" s="107"/>
      <c r="M78" s="13"/>
      <c r="N78" s="108"/>
      <c r="O78" s="108"/>
    </row>
    <row r="79" spans="2:15" ht="18.75">
      <c r="B79" s="128"/>
      <c r="C79" s="12"/>
      <c r="D79" s="107"/>
      <c r="E79" s="126"/>
      <c r="F79" s="108"/>
      <c r="G79" s="108"/>
      <c r="H79" s="13"/>
      <c r="I79" s="12"/>
      <c r="J79" s="12"/>
      <c r="K79" s="107"/>
      <c r="L79" s="107"/>
      <c r="M79" s="13"/>
      <c r="N79" s="108"/>
      <c r="O79" s="108"/>
    </row>
    <row r="80" spans="2:15" ht="18.75">
      <c r="B80" s="9">
        <v>39</v>
      </c>
      <c r="C80" s="12" t="s">
        <v>100</v>
      </c>
      <c r="D80" s="107"/>
      <c r="E80" s="107"/>
      <c r="F80" s="108"/>
      <c r="G80" s="108"/>
      <c r="H80" s="13"/>
      <c r="I80" s="107">
        <v>39</v>
      </c>
      <c r="J80" s="12" t="s">
        <v>100</v>
      </c>
      <c r="K80" s="107"/>
      <c r="L80" s="107"/>
      <c r="M80" s="13"/>
      <c r="N80" s="108"/>
      <c r="O80" s="108"/>
    </row>
    <row r="81" spans="2:15" ht="18.75">
      <c r="B81" s="9"/>
      <c r="C81" s="12"/>
      <c r="D81" s="107"/>
      <c r="E81" s="107"/>
      <c r="F81" s="108"/>
      <c r="G81" s="108"/>
      <c r="H81" s="13"/>
      <c r="I81" s="107"/>
      <c r="J81" s="12"/>
      <c r="K81" s="107"/>
      <c r="L81" s="107"/>
      <c r="M81" s="13"/>
      <c r="N81" s="108"/>
      <c r="O81" s="108"/>
    </row>
    <row r="82" spans="2:15" ht="18.75">
      <c r="B82" s="128">
        <v>40</v>
      </c>
      <c r="C82" s="12" t="s">
        <v>106</v>
      </c>
      <c r="D82" s="107"/>
      <c r="E82" s="107"/>
      <c r="F82" s="108"/>
      <c r="G82" s="108"/>
      <c r="H82" s="13"/>
      <c r="I82" s="12">
        <v>40</v>
      </c>
      <c r="J82" s="12" t="s">
        <v>106</v>
      </c>
      <c r="K82" s="107"/>
      <c r="L82" s="107"/>
      <c r="M82" s="13"/>
      <c r="N82" s="108"/>
      <c r="O82" s="108"/>
    </row>
    <row r="83" spans="2:15" ht="18.75">
      <c r="B83" s="128"/>
      <c r="C83" s="12"/>
      <c r="D83" s="129"/>
      <c r="E83" s="129"/>
      <c r="F83" s="108"/>
      <c r="G83" s="108"/>
      <c r="H83" s="13"/>
      <c r="I83" s="12"/>
      <c r="J83" s="12"/>
      <c r="K83" s="107"/>
      <c r="L83" s="107"/>
      <c r="M83" s="13"/>
      <c r="N83" s="108"/>
      <c r="O83" s="108"/>
    </row>
    <row r="84" spans="2:15" s="28" customFormat="1" ht="18.75">
      <c r="B84" s="130">
        <v>41</v>
      </c>
      <c r="C84" s="107" t="s">
        <v>68</v>
      </c>
      <c r="D84" s="107"/>
      <c r="E84" s="107"/>
      <c r="F84" s="108"/>
      <c r="G84" s="108"/>
      <c r="H84" s="13"/>
      <c r="I84" s="107">
        <v>41</v>
      </c>
      <c r="J84" s="107" t="s">
        <v>68</v>
      </c>
      <c r="K84" s="107"/>
      <c r="L84" s="107"/>
      <c r="M84" s="13"/>
      <c r="N84" s="108"/>
      <c r="O84" s="108"/>
    </row>
    <row r="85" spans="2:15" s="28" customFormat="1" ht="18.75">
      <c r="B85" s="130"/>
      <c r="C85" s="107"/>
      <c r="D85" s="107"/>
      <c r="E85" s="107"/>
      <c r="F85" s="108"/>
      <c r="G85" s="108"/>
      <c r="H85" s="13"/>
      <c r="I85" s="107"/>
      <c r="J85" s="107"/>
      <c r="K85" s="107"/>
      <c r="L85" s="107"/>
      <c r="M85" s="13"/>
      <c r="N85" s="108"/>
      <c r="O85" s="108"/>
    </row>
    <row r="86" spans="2:15" ht="18.75">
      <c r="B86" s="9">
        <v>42</v>
      </c>
      <c r="C86" s="12" t="s">
        <v>82</v>
      </c>
      <c r="D86" s="107"/>
      <c r="E86" s="107"/>
      <c r="F86" s="108"/>
      <c r="G86" s="108"/>
      <c r="H86" s="108"/>
      <c r="I86" s="107">
        <v>42</v>
      </c>
      <c r="J86" s="12" t="s">
        <v>82</v>
      </c>
      <c r="K86" s="107"/>
      <c r="L86" s="107"/>
      <c r="M86" s="13"/>
      <c r="N86" s="108"/>
      <c r="O86" s="108"/>
    </row>
    <row r="87" spans="2:15" ht="18.75">
      <c r="B87" s="9"/>
      <c r="C87" s="12"/>
      <c r="D87" s="107"/>
      <c r="E87" s="107"/>
      <c r="F87" s="108"/>
      <c r="G87" s="108"/>
      <c r="H87" s="108"/>
      <c r="I87" s="107"/>
      <c r="J87" s="12"/>
      <c r="K87" s="107"/>
      <c r="L87" s="107"/>
      <c r="M87" s="13"/>
      <c r="N87" s="108"/>
      <c r="O87" s="108"/>
    </row>
    <row r="88" spans="2:15" ht="18.75">
      <c r="B88" s="128">
        <v>43</v>
      </c>
      <c r="C88" s="12" t="s">
        <v>94</v>
      </c>
      <c r="D88" s="107"/>
      <c r="E88" s="107"/>
      <c r="F88" s="9"/>
      <c r="G88" s="9"/>
      <c r="H88" s="13"/>
      <c r="I88" s="12">
        <v>43</v>
      </c>
      <c r="J88" s="12" t="s">
        <v>94</v>
      </c>
      <c r="K88" s="107"/>
      <c r="L88" s="107"/>
      <c r="M88" s="13"/>
      <c r="N88" s="108"/>
      <c r="O88" s="108"/>
    </row>
    <row r="89" spans="2:15" ht="18.75">
      <c r="B89" s="131"/>
      <c r="C89" s="12"/>
      <c r="D89" s="107"/>
      <c r="E89" s="107"/>
      <c r="F89" s="108"/>
      <c r="G89" s="108"/>
      <c r="H89" s="13"/>
      <c r="I89" s="12"/>
      <c r="J89" s="12"/>
      <c r="K89" s="107"/>
      <c r="L89" s="107"/>
      <c r="M89" s="13"/>
      <c r="N89" s="108"/>
      <c r="O89" s="108"/>
    </row>
    <row r="90" spans="2:15" ht="18.75">
      <c r="B90" s="131"/>
      <c r="C90" s="12"/>
      <c r="D90" s="107"/>
      <c r="E90" s="107"/>
      <c r="F90" s="108"/>
      <c r="G90" s="108"/>
      <c r="H90" s="13"/>
      <c r="I90" s="12"/>
      <c r="J90" s="12"/>
      <c r="K90" s="107"/>
      <c r="L90" s="107"/>
      <c r="M90" s="13"/>
      <c r="N90" s="108"/>
      <c r="O90" s="108"/>
    </row>
    <row r="91" spans="2:15" ht="18.75">
      <c r="B91" s="9">
        <v>44</v>
      </c>
      <c r="C91" s="12" t="s">
        <v>93</v>
      </c>
      <c r="D91" s="107"/>
      <c r="E91" s="107"/>
      <c r="F91" s="108"/>
      <c r="G91" s="108"/>
      <c r="H91" s="13"/>
      <c r="I91" s="107">
        <v>44</v>
      </c>
      <c r="J91" s="12" t="s">
        <v>93</v>
      </c>
      <c r="K91" s="132"/>
      <c r="L91" s="132"/>
      <c r="M91" s="13"/>
      <c r="N91" s="108"/>
      <c r="O91" s="108"/>
    </row>
    <row r="92" spans="2:15" ht="18.75">
      <c r="B92" s="9"/>
      <c r="C92" s="12"/>
      <c r="D92" s="107"/>
      <c r="E92" s="107"/>
      <c r="F92" s="108"/>
      <c r="G92" s="108"/>
      <c r="H92" s="13"/>
      <c r="I92" s="107"/>
      <c r="J92" s="12"/>
      <c r="K92" s="132"/>
      <c r="L92" s="132"/>
      <c r="M92" s="13"/>
      <c r="N92" s="108"/>
      <c r="O92" s="108"/>
    </row>
    <row r="93" spans="2:15" ht="18.75">
      <c r="B93" s="9">
        <v>45</v>
      </c>
      <c r="C93" s="12" t="s">
        <v>90</v>
      </c>
      <c r="D93" s="107"/>
      <c r="E93" s="107"/>
      <c r="F93" s="108"/>
      <c r="G93" s="108"/>
      <c r="H93" s="13"/>
      <c r="I93" s="107">
        <v>45</v>
      </c>
      <c r="J93" s="12" t="s">
        <v>90</v>
      </c>
      <c r="K93" s="9"/>
      <c r="L93" s="9"/>
      <c r="M93" s="13"/>
      <c r="N93" s="9"/>
      <c r="O93" s="9"/>
    </row>
    <row r="94" spans="2:15" ht="18.75">
      <c r="B94" s="9"/>
      <c r="C94" s="12"/>
      <c r="D94" s="107"/>
      <c r="E94" s="107"/>
      <c r="F94" s="108"/>
      <c r="G94" s="108"/>
      <c r="H94" s="13"/>
      <c r="I94" s="107"/>
      <c r="J94" s="12"/>
      <c r="K94" s="9"/>
      <c r="L94" s="9"/>
      <c r="M94" s="13"/>
      <c r="N94" s="108"/>
      <c r="O94" s="108"/>
    </row>
    <row r="95" spans="2:15" ht="18.75">
      <c r="B95" s="9"/>
      <c r="C95" s="12"/>
      <c r="D95" s="107"/>
      <c r="E95" s="107"/>
      <c r="F95" s="108"/>
      <c r="G95" s="108"/>
      <c r="H95" s="13"/>
      <c r="I95" s="107"/>
      <c r="J95" s="12"/>
      <c r="K95" s="9"/>
      <c r="L95" s="9"/>
      <c r="M95" s="13"/>
      <c r="N95" s="108"/>
      <c r="O95" s="108"/>
    </row>
    <row r="96" spans="2:15" ht="18.75">
      <c r="B96" s="9">
        <v>46</v>
      </c>
      <c r="C96" s="12" t="s">
        <v>87</v>
      </c>
      <c r="D96" s="107"/>
      <c r="E96" s="107"/>
      <c r="F96" s="108"/>
      <c r="G96" s="108"/>
      <c r="H96" s="13"/>
      <c r="I96" s="107">
        <v>46</v>
      </c>
      <c r="J96" s="12" t="s">
        <v>87</v>
      </c>
      <c r="K96" s="107"/>
      <c r="L96" s="107"/>
      <c r="M96" s="13"/>
      <c r="N96" s="108"/>
      <c r="O96" s="108"/>
    </row>
    <row r="97" spans="2:15" ht="18.75">
      <c r="B97" s="9"/>
      <c r="C97" s="12"/>
      <c r="D97" s="107"/>
      <c r="E97" s="107"/>
      <c r="F97" s="108"/>
      <c r="G97" s="108"/>
      <c r="H97" s="13"/>
      <c r="I97" s="107"/>
      <c r="J97" s="12"/>
      <c r="K97" s="107"/>
      <c r="L97" s="107"/>
      <c r="M97" s="13"/>
      <c r="N97" s="108"/>
      <c r="O97" s="108"/>
    </row>
    <row r="98" spans="2:15" ht="18.75">
      <c r="B98" s="9">
        <v>47</v>
      </c>
      <c r="C98" s="12" t="s">
        <v>118</v>
      </c>
      <c r="D98" s="107"/>
      <c r="E98" s="107"/>
      <c r="F98" s="108"/>
      <c r="G98" s="108"/>
      <c r="H98" s="13"/>
      <c r="I98" s="107">
        <v>47</v>
      </c>
      <c r="J98" s="12" t="s">
        <v>118</v>
      </c>
      <c r="K98" s="107"/>
      <c r="L98" s="107"/>
      <c r="M98" s="13"/>
      <c r="N98" s="108"/>
      <c r="O98" s="108"/>
    </row>
    <row r="99" spans="2:15" ht="18.75">
      <c r="B99" s="9"/>
      <c r="C99" s="12"/>
      <c r="D99" s="107"/>
      <c r="E99" s="107"/>
      <c r="F99" s="108"/>
      <c r="G99" s="108"/>
      <c r="H99" s="13"/>
      <c r="I99" s="107"/>
      <c r="J99" s="12"/>
      <c r="K99" s="107"/>
      <c r="L99" s="107"/>
      <c r="M99" s="13"/>
      <c r="N99" s="108"/>
      <c r="O99" s="108"/>
    </row>
    <row r="100" spans="2:15" ht="18.75">
      <c r="B100" s="9">
        <v>48</v>
      </c>
      <c r="C100" s="12" t="s">
        <v>115</v>
      </c>
      <c r="D100" s="107"/>
      <c r="E100" s="107"/>
      <c r="F100" s="108"/>
      <c r="G100" s="108"/>
      <c r="H100" s="13"/>
      <c r="I100" s="107">
        <v>48</v>
      </c>
      <c r="J100" s="12" t="s">
        <v>115</v>
      </c>
      <c r="K100" s="107"/>
      <c r="L100" s="107"/>
      <c r="M100" s="13"/>
      <c r="N100" s="108"/>
      <c r="O100" s="108"/>
    </row>
    <row r="101" spans="2:15" ht="18.75">
      <c r="B101" s="9"/>
      <c r="C101" s="12"/>
      <c r="D101" s="107"/>
      <c r="E101" s="107"/>
      <c r="F101" s="108"/>
      <c r="G101" s="108"/>
      <c r="H101" s="13"/>
      <c r="I101" s="107"/>
      <c r="J101" s="12"/>
      <c r="K101" s="107"/>
      <c r="L101" s="107"/>
      <c r="M101" s="13"/>
      <c r="N101" s="108"/>
      <c r="O101" s="108"/>
    </row>
    <row r="102" spans="2:15" ht="18.75">
      <c r="B102" s="9">
        <v>49</v>
      </c>
      <c r="C102" s="12" t="s">
        <v>95</v>
      </c>
      <c r="D102" s="107"/>
      <c r="E102" s="107"/>
      <c r="F102" s="108"/>
      <c r="G102" s="108"/>
      <c r="H102" s="13"/>
      <c r="I102" s="107">
        <v>49</v>
      </c>
      <c r="J102" s="12" t="s">
        <v>157</v>
      </c>
      <c r="K102" s="107"/>
      <c r="L102" s="107"/>
      <c r="M102" s="13"/>
      <c r="N102" s="108"/>
      <c r="O102" s="108"/>
    </row>
    <row r="103" spans="2:15" ht="18.75">
      <c r="B103" s="9"/>
      <c r="C103" s="12"/>
      <c r="D103" s="107"/>
      <c r="E103" s="107"/>
      <c r="F103" s="108"/>
      <c r="G103" s="108"/>
      <c r="H103" s="13"/>
      <c r="I103" s="107"/>
      <c r="J103" s="12"/>
      <c r="K103" s="107"/>
      <c r="L103" s="107"/>
      <c r="M103" s="13"/>
      <c r="N103" s="108"/>
      <c r="O103" s="108"/>
    </row>
    <row r="104" spans="2:15" ht="18.75">
      <c r="B104" s="9">
        <v>50</v>
      </c>
      <c r="C104" s="12" t="s">
        <v>91</v>
      </c>
      <c r="D104" s="107"/>
      <c r="E104" s="107"/>
      <c r="F104" s="108"/>
      <c r="G104" s="108"/>
      <c r="H104" s="13"/>
      <c r="I104" s="107">
        <v>50</v>
      </c>
      <c r="J104" s="12" t="s">
        <v>91</v>
      </c>
      <c r="K104" s="107"/>
      <c r="L104" s="107"/>
      <c r="M104" s="13"/>
      <c r="N104" s="108"/>
      <c r="O104" s="108"/>
    </row>
    <row r="105" spans="2:15" ht="18.75">
      <c r="B105" s="9"/>
      <c r="C105" s="12"/>
      <c r="D105" s="107"/>
      <c r="E105" s="107"/>
      <c r="F105" s="108"/>
      <c r="G105" s="108"/>
      <c r="H105" s="13"/>
      <c r="I105" s="107"/>
      <c r="J105" s="12"/>
      <c r="K105" s="107"/>
      <c r="L105" s="107"/>
      <c r="M105" s="13"/>
      <c r="N105" s="108"/>
      <c r="O105" s="108"/>
    </row>
    <row r="106" spans="2:15" ht="18.75">
      <c r="B106" s="9"/>
      <c r="C106" s="107"/>
      <c r="D106" s="107"/>
      <c r="E106" s="107"/>
      <c r="F106" s="9">
        <f>SUM(F4:F105)</f>
        <v>231440.08000000002</v>
      </c>
      <c r="G106" s="9"/>
      <c r="H106" s="9"/>
      <c r="I106" s="9"/>
      <c r="J106" s="9">
        <f>SUM(J4:J105)</f>
        <v>0</v>
      </c>
      <c r="K106" s="9"/>
      <c r="L106" s="9"/>
      <c r="M106" s="109"/>
      <c r="N106" s="109">
        <f>SUM(N5:N105)</f>
        <v>49098.6</v>
      </c>
      <c r="O106" s="109"/>
    </row>
    <row r="108" spans="2:15">
      <c r="H108" s="14"/>
    </row>
    <row r="110" spans="2:15">
      <c r="F110" s="14"/>
      <c r="G110" s="14"/>
    </row>
    <row r="111" spans="2:15">
      <c r="K111" s="14"/>
      <c r="L111" s="14"/>
    </row>
    <row r="112" spans="2:15">
      <c r="F112" s="133" t="e">
        <f>#REF!-#REF!</f>
        <v>#REF!</v>
      </c>
      <c r="G112" s="133"/>
      <c r="H112" s="14"/>
    </row>
    <row r="113" spans="4:12">
      <c r="D113" s="14"/>
      <c r="E113" s="14"/>
      <c r="F113" s="133" t="e">
        <f>#REF!-#REF!</f>
        <v>#REF!</v>
      </c>
      <c r="G113" s="133"/>
      <c r="H113" s="28"/>
      <c r="K113" s="14"/>
      <c r="L113" s="14"/>
    </row>
    <row r="114" spans="4:12">
      <c r="D114" s="14"/>
      <c r="E114" s="14"/>
      <c r="F114" s="133" t="e">
        <f>#REF!+#REF!</f>
        <v>#REF!</v>
      </c>
      <c r="G114" s="133"/>
    </row>
    <row r="115" spans="4:12">
      <c r="K115" s="14"/>
      <c r="L115" s="14"/>
    </row>
  </sheetData>
  <mergeCells count="2">
    <mergeCell ref="B1:O1"/>
    <mergeCell ref="I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RICE Tr pur sale</vt:lpstr>
      <vt:lpstr>PADDY tR PUR SALE</vt:lpstr>
      <vt:lpstr>Sheet1</vt:lpstr>
      <vt:lpstr>'RICE Tr pur sale'!Print_Area</vt:lpstr>
      <vt:lpstr>'RICE Tr pur sale'!Print_Titles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2026-10-07T07:31:34Z</dcterms:modified>
</cp:coreProperties>
</file>