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AG REPORT" sheetId="1" r:id="rId1"/>
  </sheets>
  <definedNames>
    <definedName name="_xlnm.Print_Area" localSheetId="0">'AG REPORT'!$A$1:$T$94</definedName>
  </definedNames>
  <calcPr calcId="125725"/>
</workbook>
</file>

<file path=xl/calcChain.xml><?xml version="1.0" encoding="utf-8"?>
<calcChain xmlns="http://schemas.openxmlformats.org/spreadsheetml/2006/main">
  <c r="J78" i="1"/>
  <c r="J79" s="1"/>
  <c r="I78"/>
  <c r="I79" s="1"/>
  <c r="H78"/>
  <c r="H79" s="1"/>
  <c r="G78"/>
  <c r="G79" s="1"/>
  <c r="F78"/>
  <c r="F79" s="1"/>
  <c r="J74"/>
  <c r="I74"/>
  <c r="H74"/>
  <c r="G74"/>
  <c r="F74"/>
  <c r="J57"/>
  <c r="I57"/>
  <c r="H57"/>
  <c r="G57"/>
  <c r="F57"/>
  <c r="J50"/>
  <c r="I50"/>
  <c r="H50"/>
  <c r="G50"/>
  <c r="F50"/>
  <c r="J48"/>
  <c r="I48"/>
  <c r="H48"/>
  <c r="G48"/>
  <c r="F48"/>
  <c r="J45"/>
  <c r="I45"/>
  <c r="H45"/>
  <c r="G45"/>
  <c r="F45"/>
  <c r="I43"/>
  <c r="J40"/>
  <c r="I40"/>
  <c r="H40"/>
  <c r="G40"/>
  <c r="F40"/>
  <c r="J38"/>
  <c r="I38"/>
  <c r="H38"/>
  <c r="G38"/>
  <c r="F38"/>
  <c r="J27"/>
  <c r="I27"/>
  <c r="H27"/>
  <c r="G27"/>
  <c r="F27"/>
</calcChain>
</file>

<file path=xl/sharedStrings.xml><?xml version="1.0" encoding="utf-8"?>
<sst xmlns="http://schemas.openxmlformats.org/spreadsheetml/2006/main" count="468" uniqueCount="154">
  <si>
    <t>M.P.STATE CIVIL SUPPLIES CORPORATION LTD DISTRICT OFFICE BETUL</t>
  </si>
  <si>
    <t>Annexure-</t>
  </si>
  <si>
    <t>KMS Year: 2023-24</t>
  </si>
  <si>
    <t>Name of Districts:</t>
  </si>
  <si>
    <t>BETUL</t>
  </si>
  <si>
    <t>Name of Miller</t>
  </si>
  <si>
    <t>Agreement number</t>
  </si>
  <si>
    <t>Agreement date</t>
  </si>
  <si>
    <t>Agreement start Date</t>
  </si>
  <si>
    <t>Agreement end Date</t>
  </si>
  <si>
    <t>Total lots in agreement</t>
  </si>
  <si>
    <t>Total agreement quantity</t>
  </si>
  <si>
    <t>Total lifted Quantity by the Miller</t>
  </si>
  <si>
    <t>CMR Deposited</t>
  </si>
  <si>
    <t>CMR Pending as on 31.09.2026</t>
  </si>
  <si>
    <t>Details of security given by miller</t>
  </si>
  <si>
    <t>Name of Bank</t>
  </si>
  <si>
    <t>Name of Bank Branch</t>
  </si>
  <si>
    <t>BG/FD Number</t>
  </si>
  <si>
    <t>Amount of BG/FD</t>
  </si>
  <si>
    <t>BG/FD date</t>
  </si>
  <si>
    <t>BG/FD Valid up to</t>
  </si>
  <si>
    <t>Whether BG/FD verified from Bank</t>
  </si>
  <si>
    <t>Date of verification</t>
  </si>
  <si>
    <t>In case FD/BG is not verified, Reason for non verification</t>
  </si>
  <si>
    <t> BG/FDR</t>
  </si>
  <si>
    <t>Verified/Not verified</t>
  </si>
  <si>
    <t xml:space="preserve">Paddy procurement Agency Markfeed </t>
  </si>
  <si>
    <t>KMS Year: 2024-25</t>
  </si>
  <si>
    <t>Paddy procurement  Agency NCCF</t>
  </si>
  <si>
    <t>KMS Year: 2025-26</t>
  </si>
  <si>
    <t>G R INDUSTRIES</t>
  </si>
  <si>
    <t>31233110026100</t>
  </si>
  <si>
    <t>01/05/2026</t>
  </si>
  <si>
    <t>31/07/2026</t>
  </si>
  <si>
    <t>FDR</t>
  </si>
  <si>
    <t>CENTRAL BANK OF INDIA</t>
  </si>
  <si>
    <t>Verified</t>
  </si>
  <si>
    <t>31233110026101</t>
  </si>
  <si>
    <t>11/08/2026</t>
  </si>
  <si>
    <t>10/11/2026</t>
  </si>
  <si>
    <t>31233110026102</t>
  </si>
  <si>
    <t>18/09/2026</t>
  </si>
  <si>
    <t>18/12/2026</t>
  </si>
  <si>
    <t>19/08/2026</t>
  </si>
  <si>
    <t>19/08/2027</t>
  </si>
  <si>
    <t>20/08/2026</t>
  </si>
  <si>
    <t/>
  </si>
  <si>
    <t>JAI BHOLE RICE MILL</t>
  </si>
  <si>
    <t>31213110626100</t>
  </si>
  <si>
    <t>20/03/2026</t>
  </si>
  <si>
    <t>19/06/2026</t>
  </si>
  <si>
    <t>GHORADONGRI</t>
  </si>
  <si>
    <t>19/03/2026</t>
  </si>
  <si>
    <t>19/03/2027</t>
  </si>
  <si>
    <t>31213110626101</t>
  </si>
  <si>
    <t>13/06/2026</t>
  </si>
  <si>
    <t>13/09/2026</t>
  </si>
  <si>
    <t>31213110626102</t>
  </si>
  <si>
    <t>14/07/2026</t>
  </si>
  <si>
    <t>14/10/2026</t>
  </si>
  <si>
    <t>19/02/2027</t>
  </si>
  <si>
    <t>JAY AMBE RICE MILL</t>
  </si>
  <si>
    <t>31253110126100</t>
  </si>
  <si>
    <t>18/03/2026</t>
  </si>
  <si>
    <t>17/06/2026</t>
  </si>
  <si>
    <t>BG</t>
  </si>
  <si>
    <t>HDFC BANK</t>
  </si>
  <si>
    <t>MULTAI</t>
  </si>
  <si>
    <t>16/03/2026</t>
  </si>
  <si>
    <t>13/11/2026</t>
  </si>
  <si>
    <t>KISAAN RICE MILL</t>
  </si>
  <si>
    <t>31213111026100</t>
  </si>
  <si>
    <t>06/03/2026</t>
  </si>
  <si>
    <t>05/06/2026</t>
  </si>
  <si>
    <t>062GT02260640002</t>
  </si>
  <si>
    <t>27/02/2027</t>
  </si>
  <si>
    <t>31213111026101</t>
  </si>
  <si>
    <t>15/05/2026</t>
  </si>
  <si>
    <t>15/08/2026</t>
  </si>
  <si>
    <t>31/03/2027</t>
  </si>
  <si>
    <t>31213111026102</t>
  </si>
  <si>
    <t>12/08/2026</t>
  </si>
  <si>
    <t>11/11/2026</t>
  </si>
  <si>
    <t>31213111026103</t>
  </si>
  <si>
    <t>17/09/2026</t>
  </si>
  <si>
    <t>24/09/2026</t>
  </si>
  <si>
    <t>2205260661300010099</t>
  </si>
  <si>
    <t>23/05/2027</t>
  </si>
  <si>
    <t>KRISHNA RICE MILL</t>
  </si>
  <si>
    <t>31213110826100</t>
  </si>
  <si>
    <t>23/09/2026</t>
  </si>
  <si>
    <t>23/12/2027</t>
  </si>
  <si>
    <t> BG</t>
  </si>
  <si>
    <t>PNB BANK</t>
  </si>
  <si>
    <t>BHOURA</t>
  </si>
  <si>
    <t>12960IG000226</t>
  </si>
  <si>
    <t>18/09/2027</t>
  </si>
  <si>
    <t>27/09/2026</t>
  </si>
  <si>
    <t>129600DP00012915</t>
  </si>
  <si>
    <t>22/09/2027</t>
  </si>
  <si>
    <t>MAHI RICE MILL</t>
  </si>
  <si>
    <t>31213110226100</t>
  </si>
  <si>
    <t>10/02/2026</t>
  </si>
  <si>
    <t>09/05/2026</t>
  </si>
  <si>
    <t>BANK OF MAHARASHTRA</t>
  </si>
  <si>
    <t>00448IPG26000002</t>
  </si>
  <si>
    <t>SHIVAM AGRO INDUSTRIES</t>
  </si>
  <si>
    <t>31233110126100</t>
  </si>
  <si>
    <t>25/02/2026</t>
  </si>
  <si>
    <t>24/05/2026</t>
  </si>
  <si>
    <t>062GT02260420001</t>
  </si>
  <si>
    <t>31233110126101</t>
  </si>
  <si>
    <t>13/03/2026</t>
  </si>
  <si>
    <t>12/06/2026</t>
  </si>
  <si>
    <t>31233110126102</t>
  </si>
  <si>
    <t>28/03/2026</t>
  </si>
  <si>
    <t>27/06/2026</t>
  </si>
  <si>
    <t>31233110126103</t>
  </si>
  <si>
    <t>21/08/2026</t>
  </si>
  <si>
    <t>20/11/2026</t>
  </si>
  <si>
    <t>31233110126104</t>
  </si>
  <si>
    <t>15/09/2026</t>
  </si>
  <si>
    <t>15/12/2026</t>
  </si>
  <si>
    <t>31233110126105</t>
  </si>
  <si>
    <t>30/09/2026</t>
  </si>
  <si>
    <t>30/12/2026</t>
  </si>
  <si>
    <t>SHREE DADAJI SAI RICE MILL</t>
  </si>
  <si>
    <t>31213110126100</t>
  </si>
  <si>
    <t>13/04/2026</t>
  </si>
  <si>
    <t>12/07/2026</t>
  </si>
  <si>
    <t>PADHAR</t>
  </si>
  <si>
    <t>31213110126101</t>
  </si>
  <si>
    <t>18/11/2026</t>
  </si>
  <si>
    <t>15/04/2026</t>
  </si>
  <si>
    <t>15/04/2027</t>
  </si>
  <si>
    <t>30/05/2026</t>
  </si>
  <si>
    <t>30/05/2027</t>
  </si>
  <si>
    <t>13/05/2026</t>
  </si>
  <si>
    <t>13/05/2027</t>
  </si>
  <si>
    <t>15/07/2026</t>
  </si>
  <si>
    <t>15/07/2027</t>
  </si>
  <si>
    <t>23/07/2026</t>
  </si>
  <si>
    <t>23/07/2027</t>
  </si>
  <si>
    <t>17/08/2026</t>
  </si>
  <si>
    <t>17/08/2027</t>
  </si>
  <si>
    <t>17/09/2027</t>
  </si>
  <si>
    <t>24/09/2027</t>
  </si>
  <si>
    <t>TIRUPATI AGRO INDUSTRIES</t>
  </si>
  <si>
    <t>31213110726100</t>
  </si>
  <si>
    <t>29/09/2026</t>
  </si>
  <si>
    <t>29/12/2026</t>
  </si>
  <si>
    <t>DISTRICT MANAGER</t>
  </si>
  <si>
    <t>MPSCSC BETUL</t>
  </si>
</sst>
</file>

<file path=xl/styles.xml><?xml version="1.0" encoding="utf-8"?>
<styleSheet xmlns="http://schemas.openxmlformats.org/spreadsheetml/2006/main">
  <numFmts count="1">
    <numFmt numFmtId="164" formatCode="0.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Calibri"/>
      <scheme val="minor"/>
    </font>
    <font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rgb="FF800000"/>
      <name val="Arial"/>
      <family val="2"/>
    </font>
    <font>
      <b/>
      <sz val="10"/>
      <color rgb="FF00008B"/>
      <name val="Arial"/>
      <family val="2"/>
    </font>
    <font>
      <sz val="10"/>
      <color rgb="FF00008B"/>
      <name val="Arial"/>
      <family val="2"/>
    </font>
    <font>
      <b/>
      <sz val="14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F0E68C"/>
        <bgColor rgb="FFF0E68C"/>
      </patternFill>
    </fill>
    <fill>
      <patternFill patternType="solid">
        <fgColor theme="0"/>
        <bgColor rgb="FFF0E68C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9" fillId="0" borderId="0"/>
  </cellStyleXfs>
  <cellXfs count="7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8" fillId="2" borderId="1" xfId="0" applyFont="1" applyFill="1" applyBorder="1" applyAlignment="1">
      <alignment vertical="top"/>
    </xf>
    <xf numFmtId="0" fontId="10" fillId="0" borderId="1" xfId="1" applyFont="1" applyBorder="1" applyAlignment="1">
      <alignment vertical="center" wrapText="1" readingOrder="1"/>
    </xf>
    <xf numFmtId="164" fontId="10" fillId="0" borderId="1" xfId="1" applyNumberFormat="1" applyFont="1" applyBorder="1" applyAlignment="1">
      <alignment vertical="center" wrapText="1" readingOrder="1"/>
    </xf>
    <xf numFmtId="0" fontId="0" fillId="0" borderId="1" xfId="0" applyBorder="1" applyAlignment="1">
      <alignment horizontal="center" vertical="center"/>
    </xf>
    <xf numFmtId="164" fontId="11" fillId="3" borderId="1" xfId="0" applyNumberFormat="1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8" fillId="2" borderId="0" xfId="0" applyFont="1" applyFill="1" applyBorder="1" applyAlignment="1">
      <alignment vertical="top"/>
    </xf>
    <xf numFmtId="0" fontId="10" fillId="0" borderId="0" xfId="1" applyFont="1" applyBorder="1" applyAlignment="1">
      <alignment vertical="center" wrapText="1" readingOrder="1"/>
    </xf>
    <xf numFmtId="164" fontId="10" fillId="0" borderId="0" xfId="1" applyNumberFormat="1" applyFont="1" applyBorder="1" applyAlignment="1">
      <alignment vertical="center" wrapText="1" readingOrder="1"/>
    </xf>
    <xf numFmtId="0" fontId="0" fillId="0" borderId="0" xfId="0" applyBorder="1" applyAlignment="1">
      <alignment horizontal="center" vertical="center"/>
    </xf>
    <xf numFmtId="164" fontId="11" fillId="3" borderId="0" xfId="0" applyNumberFormat="1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5" xfId="1" applyFont="1" applyBorder="1" applyAlignment="1">
      <alignment vertical="center" wrapText="1" readingOrder="1"/>
    </xf>
    <xf numFmtId="0" fontId="10" fillId="0" borderId="6" xfId="1" applyFont="1" applyBorder="1" applyAlignment="1">
      <alignment vertical="center" wrapText="1" readingOrder="1"/>
    </xf>
    <xf numFmtId="164" fontId="10" fillId="0" borderId="6" xfId="1" applyNumberFormat="1" applyFont="1" applyBorder="1" applyAlignment="1">
      <alignment vertical="center" wrapText="1" readingOrder="1"/>
    </xf>
    <xf numFmtId="0" fontId="10" fillId="2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justify" vertical="center" wrapText="1"/>
    </xf>
    <xf numFmtId="0" fontId="10" fillId="0" borderId="6" xfId="1" applyFont="1" applyBorder="1" applyAlignment="1">
      <alignment horizontal="center" vertical="center" wrapText="1" readingOrder="1"/>
    </xf>
    <xf numFmtId="14" fontId="10" fillId="2" borderId="5" xfId="0" applyNumberFormat="1" applyFont="1" applyFill="1" applyBorder="1" applyAlignment="1">
      <alignment horizontal="center" vertical="center" wrapText="1"/>
    </xf>
    <xf numFmtId="14" fontId="10" fillId="2" borderId="1" xfId="0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12" fillId="4" borderId="5" xfId="1" applyFont="1" applyFill="1" applyBorder="1" applyAlignment="1">
      <alignment vertical="center" wrapText="1" readingOrder="1"/>
    </xf>
    <xf numFmtId="0" fontId="12" fillId="4" borderId="8" xfId="1" applyFont="1" applyFill="1" applyBorder="1" applyAlignment="1">
      <alignment vertical="center" wrapText="1" readingOrder="1"/>
    </xf>
    <xf numFmtId="0" fontId="12" fillId="4" borderId="10" xfId="1" applyFont="1" applyFill="1" applyBorder="1" applyAlignment="1">
      <alignment vertical="center" wrapText="1" readingOrder="1"/>
    </xf>
    <xf numFmtId="0" fontId="12" fillId="4" borderId="6" xfId="1" applyFont="1" applyFill="1" applyBorder="1" applyAlignment="1">
      <alignment vertical="center" wrapText="1" readingOrder="1"/>
    </xf>
    <xf numFmtId="0" fontId="0" fillId="0" borderId="11" xfId="0" applyBorder="1" applyAlignment="1">
      <alignment vertical="center"/>
    </xf>
    <xf numFmtId="0" fontId="10" fillId="0" borderId="12" xfId="1" applyFont="1" applyBorder="1" applyAlignment="1">
      <alignment vertical="center" wrapText="1" readingOrder="1"/>
    </xf>
    <xf numFmtId="0" fontId="10" fillId="0" borderId="13" xfId="1" applyFont="1" applyBorder="1" applyAlignment="1">
      <alignment vertical="center" wrapText="1" readingOrder="1"/>
    </xf>
    <xf numFmtId="0" fontId="10" fillId="0" borderId="11" xfId="1" applyFont="1" applyBorder="1" applyAlignment="1">
      <alignment vertical="center" wrapText="1" readingOrder="1"/>
    </xf>
    <xf numFmtId="164" fontId="10" fillId="0" borderId="13" xfId="1" applyNumberFormat="1" applyFont="1" applyBorder="1" applyAlignment="1">
      <alignment vertical="center" wrapText="1" readingOrder="1"/>
    </xf>
    <xf numFmtId="0" fontId="0" fillId="0" borderId="11" xfId="0" applyBorder="1" applyAlignment="1">
      <alignment horizontal="center" vertical="center"/>
    </xf>
    <xf numFmtId="0" fontId="12" fillId="4" borderId="13" xfId="1" applyFont="1" applyFill="1" applyBorder="1" applyAlignment="1">
      <alignment vertical="center" wrapText="1" readingOrder="1"/>
    </xf>
    <xf numFmtId="14" fontId="10" fillId="2" borderId="6" xfId="0" applyNumberFormat="1" applyFont="1" applyFill="1" applyBorder="1" applyAlignment="1">
      <alignment horizontal="center" vertical="center" wrapText="1"/>
    </xf>
    <xf numFmtId="0" fontId="12" fillId="4" borderId="1" xfId="1" applyFont="1" applyFill="1" applyBorder="1" applyAlignment="1">
      <alignment vertical="center" wrapText="1" readingOrder="1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vertical="center"/>
    </xf>
    <xf numFmtId="1" fontId="0" fillId="0" borderId="1" xfId="0" quotePrefix="1" applyNumberFormat="1" applyBorder="1" applyAlignment="1">
      <alignment horizontal="right" vertical="center"/>
    </xf>
    <xf numFmtId="0" fontId="12" fillId="4" borderId="14" xfId="1" applyFont="1" applyFill="1" applyBorder="1" applyAlignment="1">
      <alignment vertical="center" wrapText="1" readingOrder="1"/>
    </xf>
    <xf numFmtId="0" fontId="12" fillId="4" borderId="15" xfId="1" applyFont="1" applyFill="1" applyBorder="1" applyAlignment="1">
      <alignment vertical="center" wrapText="1" readingOrder="1"/>
    </xf>
    <xf numFmtId="0" fontId="0" fillId="0" borderId="7" xfId="0" applyBorder="1" applyAlignment="1">
      <alignment vertical="center"/>
    </xf>
    <xf numFmtId="0" fontId="10" fillId="0" borderId="16" xfId="1" applyFont="1" applyBorder="1" applyAlignment="1">
      <alignment vertical="center" wrapText="1" readingOrder="1"/>
    </xf>
    <xf numFmtId="0" fontId="10" fillId="0" borderId="17" xfId="1" applyFont="1" applyBorder="1" applyAlignment="1">
      <alignment vertical="center" wrapText="1" readingOrder="1"/>
    </xf>
    <xf numFmtId="0" fontId="12" fillId="4" borderId="18" xfId="1" applyFont="1" applyFill="1" applyBorder="1" applyAlignment="1">
      <alignment vertical="center" wrapText="1" readingOrder="1"/>
    </xf>
    <xf numFmtId="0" fontId="10" fillId="0" borderId="8" xfId="1" applyFont="1" applyBorder="1" applyAlignment="1">
      <alignment vertical="center" wrapText="1" readingOrder="1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vertical="center"/>
    </xf>
    <xf numFmtId="164" fontId="11" fillId="3" borderId="5" xfId="0" applyNumberFormat="1" applyFont="1" applyFill="1" applyBorder="1" applyAlignment="1">
      <alignment vertical="center" wrapText="1"/>
    </xf>
    <xf numFmtId="0" fontId="12" fillId="4" borderId="11" xfId="1" applyFont="1" applyFill="1" applyBorder="1" applyAlignment="1">
      <alignment vertical="center" wrapText="1" readingOrder="1"/>
    </xf>
    <xf numFmtId="0" fontId="0" fillId="0" borderId="16" xfId="0" applyBorder="1" applyAlignment="1">
      <alignment vertical="center"/>
    </xf>
    <xf numFmtId="0" fontId="13" fillId="5" borderId="8" xfId="1" applyFont="1" applyFill="1" applyBorder="1" applyAlignment="1">
      <alignment vertical="center" wrapText="1" readingOrder="1"/>
    </xf>
    <xf numFmtId="0" fontId="13" fillId="5" borderId="5" xfId="1" applyFont="1" applyFill="1" applyBorder="1" applyAlignment="1">
      <alignment vertical="center" wrapText="1" readingOrder="1"/>
    </xf>
    <xf numFmtId="0" fontId="13" fillId="5" borderId="6" xfId="1" applyFont="1" applyFill="1" applyBorder="1" applyAlignment="1">
      <alignment vertical="center" wrapText="1" readingOrder="1"/>
    </xf>
    <xf numFmtId="0" fontId="1" fillId="0" borderId="0" xfId="0" applyFont="1" applyAlignment="1">
      <alignment vertical="center"/>
    </xf>
    <xf numFmtId="1" fontId="14" fillId="6" borderId="0" xfId="1" applyNumberFormat="1" applyFont="1" applyFill="1" applyBorder="1" applyAlignment="1">
      <alignment vertical="top" wrapText="1" readingOrder="1"/>
    </xf>
    <xf numFmtId="0" fontId="0" fillId="3" borderId="0" xfId="0" applyFill="1"/>
    <xf numFmtId="1" fontId="0" fillId="0" borderId="0" xfId="0" applyNumberFormat="1"/>
    <xf numFmtId="0" fontId="15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89"/>
  <sheetViews>
    <sheetView tabSelected="1" topLeftCell="C67" zoomScaleNormal="100" workbookViewId="0">
      <selection activeCell="P70" sqref="P70"/>
    </sheetView>
  </sheetViews>
  <sheetFormatPr defaultRowHeight="15"/>
  <cols>
    <col min="1" max="1" width="32.5703125" customWidth="1"/>
    <col min="2" max="2" width="20.7109375" customWidth="1"/>
    <col min="3" max="3" width="12.140625" customWidth="1"/>
    <col min="4" max="4" width="13.140625" customWidth="1"/>
    <col min="5" max="5" width="11.7109375" customWidth="1"/>
    <col min="6" max="7" width="12" customWidth="1"/>
    <col min="8" max="8" width="11.42578125" customWidth="1"/>
    <col min="9" max="9" width="11.28515625" bestFit="1" customWidth="1"/>
    <col min="10" max="10" width="11.7109375" customWidth="1"/>
    <col min="11" max="11" width="15.42578125" customWidth="1"/>
    <col min="12" max="12" width="23.85546875" customWidth="1"/>
    <col min="13" max="13" width="17.7109375" customWidth="1"/>
    <col min="14" max="14" width="24.85546875" customWidth="1"/>
    <col min="15" max="15" width="11.7109375" customWidth="1"/>
    <col min="16" max="16" width="12.28515625" bestFit="1" customWidth="1"/>
    <col min="17" max="17" width="13.42578125" customWidth="1"/>
    <col min="19" max="19" width="12.85546875" customWidth="1"/>
    <col min="20" max="20" width="11.7109375" customWidth="1"/>
  </cols>
  <sheetData>
    <row r="1" spans="1:20" ht="26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20" ht="2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5.75">
      <c r="A5" s="4" t="s">
        <v>3</v>
      </c>
      <c r="B5" s="5" t="s">
        <v>4</v>
      </c>
      <c r="C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63.75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7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  <c r="Q6" s="6" t="s">
        <v>21</v>
      </c>
      <c r="R6" s="8" t="s">
        <v>22</v>
      </c>
      <c r="S6" s="6" t="s">
        <v>23</v>
      </c>
      <c r="T6" s="6" t="s">
        <v>24</v>
      </c>
    </row>
    <row r="7" spans="1:20" ht="38.25">
      <c r="A7" s="6"/>
      <c r="B7" s="6"/>
      <c r="C7" s="6"/>
      <c r="D7" s="6"/>
      <c r="E7" s="6"/>
      <c r="F7" s="6"/>
      <c r="G7" s="6"/>
      <c r="H7" s="6"/>
      <c r="I7" s="6"/>
      <c r="J7" s="6"/>
      <c r="K7" s="7" t="s">
        <v>25</v>
      </c>
      <c r="L7" s="6"/>
      <c r="M7" s="6"/>
      <c r="N7" s="6"/>
      <c r="O7" s="6"/>
      <c r="P7" s="6"/>
      <c r="Q7" s="6"/>
      <c r="R7" s="7" t="s">
        <v>26</v>
      </c>
      <c r="S7" s="6"/>
      <c r="T7" s="6"/>
    </row>
    <row r="8" spans="1:20" s="10" customFormat="1" ht="18.600000000000001" customHeight="1">
      <c r="A8" s="9" t="s">
        <v>27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s="10" customFormat="1" ht="18.600000000000001" customHeight="1">
      <c r="A9" s="11"/>
      <c r="B9" s="11"/>
      <c r="C9" s="11"/>
      <c r="D9" s="12"/>
      <c r="E9" s="11"/>
      <c r="F9" s="13"/>
      <c r="G9" s="13"/>
      <c r="H9" s="13"/>
      <c r="I9" s="14"/>
      <c r="J9" s="13"/>
      <c r="K9" s="15"/>
      <c r="L9" s="16"/>
      <c r="M9" s="13"/>
      <c r="N9" s="13"/>
      <c r="O9" s="13"/>
      <c r="P9" s="17"/>
      <c r="Q9" s="17"/>
      <c r="R9" s="13"/>
      <c r="S9" s="17"/>
      <c r="T9" s="11"/>
    </row>
    <row r="10" spans="1:20" s="10" customFormat="1" ht="18.600000000000001" customHeight="1">
      <c r="A10" s="18"/>
      <c r="B10" s="18"/>
      <c r="C10" s="18"/>
      <c r="D10" s="19"/>
      <c r="E10" s="18"/>
      <c r="F10" s="20"/>
      <c r="G10" s="20"/>
      <c r="H10" s="20"/>
      <c r="I10" s="21"/>
      <c r="J10" s="20"/>
      <c r="K10" s="22"/>
      <c r="L10" s="23"/>
      <c r="M10" s="20"/>
      <c r="N10" s="20"/>
      <c r="O10" s="20"/>
      <c r="P10" s="24"/>
      <c r="Q10" s="24"/>
      <c r="R10" s="20"/>
      <c r="S10" s="24"/>
      <c r="T10" s="18"/>
    </row>
    <row r="11" spans="1:20" ht="15.75">
      <c r="A11" s="2" t="s">
        <v>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0.25">
      <c r="A12" s="3" t="s">
        <v>28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.75">
      <c r="A13" s="4" t="s">
        <v>3</v>
      </c>
      <c r="B13" s="5" t="s">
        <v>4</v>
      </c>
      <c r="C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63.75">
      <c r="A14" s="6" t="s">
        <v>5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G14" s="6" t="s">
        <v>11</v>
      </c>
      <c r="H14" s="6" t="s">
        <v>12</v>
      </c>
      <c r="I14" s="6" t="s">
        <v>13</v>
      </c>
      <c r="J14" s="6" t="s">
        <v>14</v>
      </c>
      <c r="K14" s="7" t="s">
        <v>15</v>
      </c>
      <c r="L14" s="6" t="s">
        <v>16</v>
      </c>
      <c r="M14" s="6" t="s">
        <v>17</v>
      </c>
      <c r="N14" s="6" t="s">
        <v>18</v>
      </c>
      <c r="O14" s="6" t="s">
        <v>19</v>
      </c>
      <c r="P14" s="6" t="s">
        <v>20</v>
      </c>
      <c r="Q14" s="6" t="s">
        <v>21</v>
      </c>
      <c r="R14" s="8" t="s">
        <v>22</v>
      </c>
      <c r="S14" s="6" t="s">
        <v>23</v>
      </c>
      <c r="T14" s="6" t="s">
        <v>24</v>
      </c>
    </row>
    <row r="15" spans="1:20" ht="38.25">
      <c r="A15" s="6"/>
      <c r="B15" s="6"/>
      <c r="C15" s="6"/>
      <c r="D15" s="6"/>
      <c r="E15" s="6"/>
      <c r="F15" s="6"/>
      <c r="G15" s="6"/>
      <c r="H15" s="6"/>
      <c r="I15" s="6"/>
      <c r="J15" s="6"/>
      <c r="K15" s="7" t="s">
        <v>25</v>
      </c>
      <c r="L15" s="6"/>
      <c r="M15" s="6"/>
      <c r="N15" s="6"/>
      <c r="O15" s="6"/>
      <c r="P15" s="6"/>
      <c r="Q15" s="6"/>
      <c r="R15" s="7" t="s">
        <v>26</v>
      </c>
      <c r="S15" s="6"/>
      <c r="T15" s="6"/>
    </row>
    <row r="16" spans="1:20" s="10" customFormat="1" ht="18.600000000000001" customHeight="1">
      <c r="A16" s="25" t="s">
        <v>29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</row>
    <row r="17" spans="1:20" s="10" customFormat="1" ht="18.600000000000001" customHeight="1">
      <c r="A17" s="11"/>
      <c r="B17" s="11"/>
      <c r="C17" s="11"/>
      <c r="D17" s="11"/>
      <c r="E17" s="11"/>
      <c r="F17" s="28"/>
      <c r="G17" s="29"/>
      <c r="H17" s="13"/>
      <c r="I17" s="30"/>
      <c r="J17" s="29"/>
      <c r="K17" s="15"/>
      <c r="L17" s="16"/>
      <c r="M17" s="29"/>
      <c r="N17" s="29"/>
      <c r="O17" s="29"/>
      <c r="P17" s="31"/>
      <c r="Q17" s="31"/>
      <c r="R17" s="29"/>
      <c r="S17" s="31"/>
      <c r="T17" s="11"/>
    </row>
    <row r="18" spans="1:20" s="10" customFormat="1" ht="18.600000000000001" customHeight="1">
      <c r="A18" s="18"/>
      <c r="B18" s="18"/>
      <c r="C18" s="18"/>
      <c r="D18" s="18"/>
      <c r="E18" s="18"/>
      <c r="F18" s="20"/>
      <c r="G18" s="20"/>
      <c r="H18" s="20"/>
      <c r="I18" s="21"/>
      <c r="J18" s="20"/>
      <c r="K18" s="22"/>
      <c r="L18" s="23"/>
      <c r="M18" s="20"/>
      <c r="N18" s="20"/>
      <c r="O18" s="20"/>
      <c r="P18" s="24"/>
      <c r="Q18" s="24"/>
      <c r="R18" s="20"/>
      <c r="S18" s="24"/>
      <c r="T18" s="18"/>
    </row>
    <row r="19" spans="1:20" ht="15.75">
      <c r="A19" s="2" t="s">
        <v>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0.25">
      <c r="A20" s="3" t="s">
        <v>30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5.75">
      <c r="A21" s="4" t="s">
        <v>3</v>
      </c>
      <c r="B21" s="5" t="s">
        <v>4</v>
      </c>
      <c r="C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63.75">
      <c r="A22" s="6" t="s">
        <v>5</v>
      </c>
      <c r="B22" s="6" t="s">
        <v>6</v>
      </c>
      <c r="C22" s="6" t="s">
        <v>7</v>
      </c>
      <c r="D22" s="6" t="s">
        <v>8</v>
      </c>
      <c r="E22" s="6" t="s">
        <v>9</v>
      </c>
      <c r="F22" s="6" t="s">
        <v>10</v>
      </c>
      <c r="G22" s="6" t="s">
        <v>11</v>
      </c>
      <c r="H22" s="6" t="s">
        <v>12</v>
      </c>
      <c r="I22" s="6" t="s">
        <v>13</v>
      </c>
      <c r="J22" s="6" t="s">
        <v>14</v>
      </c>
      <c r="K22" s="7" t="s">
        <v>15</v>
      </c>
      <c r="L22" s="6" t="s">
        <v>16</v>
      </c>
      <c r="M22" s="6" t="s">
        <v>17</v>
      </c>
      <c r="N22" s="6" t="s">
        <v>18</v>
      </c>
      <c r="O22" s="6" t="s">
        <v>19</v>
      </c>
      <c r="P22" s="6" t="s">
        <v>20</v>
      </c>
      <c r="Q22" s="6" t="s">
        <v>21</v>
      </c>
      <c r="R22" s="32" t="s">
        <v>22</v>
      </c>
      <c r="S22" s="6" t="s">
        <v>23</v>
      </c>
      <c r="T22" s="6" t="s">
        <v>24</v>
      </c>
    </row>
    <row r="23" spans="1:20" ht="38.25">
      <c r="A23" s="6"/>
      <c r="B23" s="6"/>
      <c r="C23" s="6"/>
      <c r="D23" s="6"/>
      <c r="E23" s="6"/>
      <c r="F23" s="6"/>
      <c r="G23" s="6"/>
      <c r="H23" s="6"/>
      <c r="I23" s="6"/>
      <c r="J23" s="6"/>
      <c r="K23" s="7" t="s">
        <v>25</v>
      </c>
      <c r="L23" s="6"/>
      <c r="M23" s="6"/>
      <c r="N23" s="6"/>
      <c r="O23" s="6"/>
      <c r="P23" s="6"/>
      <c r="Q23" s="6"/>
      <c r="R23" s="33" t="s">
        <v>26</v>
      </c>
      <c r="S23" s="6"/>
      <c r="T23" s="6"/>
    </row>
    <row r="24" spans="1:20" s="10" customFormat="1" ht="23.25" customHeight="1">
      <c r="A24" s="11" t="s">
        <v>31</v>
      </c>
      <c r="B24" s="11" t="s">
        <v>32</v>
      </c>
      <c r="C24" s="11" t="s">
        <v>33</v>
      </c>
      <c r="D24" s="11" t="s">
        <v>33</v>
      </c>
      <c r="E24" s="11" t="s">
        <v>34</v>
      </c>
      <c r="F24" s="28">
        <v>6</v>
      </c>
      <c r="G24" s="29">
        <v>259.8</v>
      </c>
      <c r="H24" s="13">
        <v>259.8</v>
      </c>
      <c r="I24" s="30">
        <v>145</v>
      </c>
      <c r="J24" s="29">
        <v>29.356000000000002</v>
      </c>
      <c r="K24" s="34" t="s">
        <v>35</v>
      </c>
      <c r="L24" s="16" t="s">
        <v>36</v>
      </c>
      <c r="M24" s="29" t="s">
        <v>4</v>
      </c>
      <c r="N24" s="29">
        <v>35333</v>
      </c>
      <c r="O24" s="29">
        <v>2750000</v>
      </c>
      <c r="P24" s="35">
        <v>46117</v>
      </c>
      <c r="Q24" s="35">
        <v>46482</v>
      </c>
      <c r="R24" s="29" t="s">
        <v>37</v>
      </c>
      <c r="S24" s="36">
        <v>46144</v>
      </c>
      <c r="T24" s="11"/>
    </row>
    <row r="25" spans="1:20" s="10" customFormat="1" ht="23.25" customHeight="1">
      <c r="A25" s="11" t="s">
        <v>31</v>
      </c>
      <c r="B25" s="11" t="s">
        <v>38</v>
      </c>
      <c r="C25" s="11" t="s">
        <v>39</v>
      </c>
      <c r="D25" s="11" t="s">
        <v>39</v>
      </c>
      <c r="E25" s="11" t="s">
        <v>40</v>
      </c>
      <c r="F25" s="28">
        <v>18</v>
      </c>
      <c r="G25" s="29">
        <v>779.4</v>
      </c>
      <c r="H25" s="13">
        <v>779.4</v>
      </c>
      <c r="I25" s="30">
        <v>405.98700000000002</v>
      </c>
      <c r="J25" s="29">
        <v>117.371</v>
      </c>
      <c r="K25" s="15" t="s">
        <v>35</v>
      </c>
      <c r="L25" s="16" t="s">
        <v>36</v>
      </c>
      <c r="M25" s="29" t="s">
        <v>4</v>
      </c>
      <c r="N25" s="29">
        <v>35361</v>
      </c>
      <c r="O25" s="29">
        <v>550000</v>
      </c>
      <c r="P25" s="35">
        <v>46154</v>
      </c>
      <c r="Q25" s="35">
        <v>46519</v>
      </c>
      <c r="R25" s="29" t="s">
        <v>37</v>
      </c>
      <c r="S25" s="36">
        <v>46156</v>
      </c>
      <c r="T25" s="11"/>
    </row>
    <row r="26" spans="1:20" s="10" customFormat="1" ht="23.25" customHeight="1">
      <c r="A26" s="11" t="s">
        <v>31</v>
      </c>
      <c r="B26" s="11" t="s">
        <v>41</v>
      </c>
      <c r="C26" s="11" t="s">
        <v>42</v>
      </c>
      <c r="D26" s="11" t="s">
        <v>42</v>
      </c>
      <c r="E26" s="11" t="s">
        <v>43</v>
      </c>
      <c r="F26" s="28">
        <v>24</v>
      </c>
      <c r="G26" s="29">
        <v>1039.2</v>
      </c>
      <c r="H26" s="13">
        <v>43.3</v>
      </c>
      <c r="I26" s="30">
        <v>29</v>
      </c>
      <c r="J26" s="29">
        <v>1.0999999999999999E-2</v>
      </c>
      <c r="K26" s="15" t="s">
        <v>35</v>
      </c>
      <c r="L26" s="16" t="s">
        <v>36</v>
      </c>
      <c r="M26" s="29" t="s">
        <v>4</v>
      </c>
      <c r="N26" s="29">
        <v>562165</v>
      </c>
      <c r="O26" s="29">
        <v>2200000</v>
      </c>
      <c r="P26" s="31" t="s">
        <v>44</v>
      </c>
      <c r="Q26" s="31" t="s">
        <v>45</v>
      </c>
      <c r="R26" s="29" t="s">
        <v>37</v>
      </c>
      <c r="S26" s="37" t="s">
        <v>46</v>
      </c>
      <c r="T26" s="38"/>
    </row>
    <row r="27" spans="1:20" s="10" customFormat="1" ht="23.25" customHeight="1">
      <c r="A27" s="39"/>
      <c r="B27" s="40" t="s">
        <v>47</v>
      </c>
      <c r="C27" s="40" t="s">
        <v>47</v>
      </c>
      <c r="D27" s="40" t="s">
        <v>47</v>
      </c>
      <c r="E27" s="40" t="s">
        <v>47</v>
      </c>
      <c r="F27" s="41">
        <f t="shared" ref="F27:I27" si="0">SUM(F24:F26)</f>
        <v>48</v>
      </c>
      <c r="G27" s="41">
        <f t="shared" si="0"/>
        <v>2078.4</v>
      </c>
      <c r="H27" s="41">
        <f t="shared" si="0"/>
        <v>1082.5</v>
      </c>
      <c r="I27" s="41">
        <f t="shared" si="0"/>
        <v>579.98700000000008</v>
      </c>
      <c r="J27" s="41">
        <f>SUM(J24:J26)</f>
        <v>146.738</v>
      </c>
      <c r="K27" s="42"/>
      <c r="L27" s="42"/>
      <c r="M27" s="42"/>
      <c r="N27" s="42"/>
      <c r="O27" s="42"/>
      <c r="P27" s="42"/>
      <c r="Q27" s="42"/>
      <c r="R27" s="42"/>
      <c r="S27" s="42"/>
      <c r="T27" s="42"/>
    </row>
    <row r="28" spans="1:20" s="10" customFormat="1" ht="23.25" customHeight="1">
      <c r="A28" s="11" t="s">
        <v>48</v>
      </c>
      <c r="B28" s="11" t="s">
        <v>49</v>
      </c>
      <c r="C28" s="11" t="s">
        <v>50</v>
      </c>
      <c r="D28" s="11" t="s">
        <v>50</v>
      </c>
      <c r="E28" s="11" t="s">
        <v>51</v>
      </c>
      <c r="F28" s="28">
        <v>18</v>
      </c>
      <c r="G28" s="29">
        <v>779.4</v>
      </c>
      <c r="H28" s="13">
        <v>779.4</v>
      </c>
      <c r="I28" s="30">
        <v>522</v>
      </c>
      <c r="J28" s="29">
        <v>5.42</v>
      </c>
      <c r="K28" s="15" t="s">
        <v>35</v>
      </c>
      <c r="L28" s="16" t="s">
        <v>36</v>
      </c>
      <c r="M28" s="11" t="s">
        <v>52</v>
      </c>
      <c r="N28" s="11">
        <v>28170</v>
      </c>
      <c r="O28" s="29">
        <v>550000</v>
      </c>
      <c r="P28" s="35" t="s">
        <v>53</v>
      </c>
      <c r="Q28" s="35" t="s">
        <v>54</v>
      </c>
      <c r="R28" s="29" t="s">
        <v>37</v>
      </c>
      <c r="S28" s="35">
        <v>46102</v>
      </c>
      <c r="T28" s="11"/>
    </row>
    <row r="29" spans="1:20" s="10" customFormat="1" ht="23.25" customHeight="1">
      <c r="A29" s="11" t="s">
        <v>48</v>
      </c>
      <c r="B29" s="11" t="s">
        <v>55</v>
      </c>
      <c r="C29" s="11" t="s">
        <v>56</v>
      </c>
      <c r="D29" s="11" t="s">
        <v>56</v>
      </c>
      <c r="E29" s="11" t="s">
        <v>57</v>
      </c>
      <c r="F29" s="28">
        <v>18</v>
      </c>
      <c r="G29" s="29">
        <v>779.4</v>
      </c>
      <c r="H29" s="13">
        <v>779.4</v>
      </c>
      <c r="I29" s="30">
        <v>464</v>
      </c>
      <c r="J29" s="29">
        <v>58.777999999999999</v>
      </c>
      <c r="K29" s="15" t="s">
        <v>35</v>
      </c>
      <c r="L29" s="16" t="s">
        <v>36</v>
      </c>
      <c r="M29" s="11" t="s">
        <v>52</v>
      </c>
      <c r="N29" s="11">
        <v>28173</v>
      </c>
      <c r="O29" s="29">
        <v>550000</v>
      </c>
      <c r="P29" s="35" t="s">
        <v>53</v>
      </c>
      <c r="Q29" s="35" t="s">
        <v>54</v>
      </c>
      <c r="R29" s="29" t="s">
        <v>37</v>
      </c>
      <c r="S29" s="35">
        <v>46102</v>
      </c>
      <c r="T29" s="11"/>
    </row>
    <row r="30" spans="1:20" s="10" customFormat="1" ht="23.25" customHeight="1">
      <c r="A30" s="11" t="s">
        <v>48</v>
      </c>
      <c r="B30" s="43" t="s">
        <v>58</v>
      </c>
      <c r="C30" s="43" t="s">
        <v>59</v>
      </c>
      <c r="D30" s="43" t="s">
        <v>59</v>
      </c>
      <c r="E30" s="43" t="s">
        <v>60</v>
      </c>
      <c r="F30" s="44">
        <v>18</v>
      </c>
      <c r="G30" s="45">
        <v>779.4</v>
      </c>
      <c r="H30" s="46">
        <v>779.4</v>
      </c>
      <c r="I30" s="47">
        <v>464</v>
      </c>
      <c r="J30" s="45">
        <v>58.777999999999999</v>
      </c>
      <c r="K30" s="48" t="s">
        <v>35</v>
      </c>
      <c r="L30" s="16" t="s">
        <v>36</v>
      </c>
      <c r="M30" s="43" t="s">
        <v>52</v>
      </c>
      <c r="N30" s="11">
        <v>28174</v>
      </c>
      <c r="O30" s="29">
        <v>550000</v>
      </c>
      <c r="P30" s="35" t="s">
        <v>53</v>
      </c>
      <c r="Q30" s="35" t="s">
        <v>61</v>
      </c>
      <c r="R30" s="29" t="s">
        <v>37</v>
      </c>
      <c r="S30" s="35">
        <v>46102</v>
      </c>
      <c r="T30" s="11"/>
    </row>
    <row r="31" spans="1:20" s="10" customFormat="1" ht="23.25" customHeight="1">
      <c r="A31" s="11" t="s">
        <v>48</v>
      </c>
      <c r="B31" s="11"/>
      <c r="C31" s="11"/>
      <c r="D31" s="11"/>
      <c r="E31" s="11"/>
      <c r="F31" s="13"/>
      <c r="G31" s="13"/>
      <c r="H31" s="13"/>
      <c r="I31" s="14"/>
      <c r="J31" s="13"/>
      <c r="K31" s="15"/>
      <c r="L31" s="13"/>
      <c r="M31" s="11"/>
      <c r="N31" s="11">
        <v>28175</v>
      </c>
      <c r="O31" s="29">
        <v>550000</v>
      </c>
      <c r="P31" s="35" t="s">
        <v>53</v>
      </c>
      <c r="Q31" s="35" t="s">
        <v>54</v>
      </c>
      <c r="R31" s="29" t="s">
        <v>37</v>
      </c>
      <c r="S31" s="35">
        <v>46102</v>
      </c>
      <c r="T31" s="11"/>
    </row>
    <row r="32" spans="1:20" s="10" customFormat="1" ht="23.25" customHeight="1">
      <c r="A32" s="11" t="s">
        <v>48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>
        <v>28176</v>
      </c>
      <c r="O32" s="29">
        <v>550000</v>
      </c>
      <c r="P32" s="35" t="s">
        <v>53</v>
      </c>
      <c r="Q32" s="35" t="s">
        <v>54</v>
      </c>
      <c r="R32" s="29" t="s">
        <v>37</v>
      </c>
      <c r="S32" s="35">
        <v>46102</v>
      </c>
      <c r="T32" s="11"/>
    </row>
    <row r="33" spans="1:20" s="10" customFormat="1" ht="23.25" customHeight="1">
      <c r="A33" s="11" t="s">
        <v>48</v>
      </c>
      <c r="B33" s="11"/>
      <c r="C33" s="11"/>
      <c r="D33" s="11"/>
      <c r="E33" s="11"/>
      <c r="F33" s="13"/>
      <c r="G33" s="13"/>
      <c r="H33" s="13"/>
      <c r="I33" s="14"/>
      <c r="J33" s="13"/>
      <c r="K33" s="15"/>
      <c r="L33" s="13"/>
      <c r="M33" s="11"/>
      <c r="N33" s="11">
        <v>28177</v>
      </c>
      <c r="O33" s="29">
        <v>550000</v>
      </c>
      <c r="P33" s="35" t="s">
        <v>53</v>
      </c>
      <c r="Q33" s="35" t="s">
        <v>54</v>
      </c>
      <c r="R33" s="29" t="s">
        <v>37</v>
      </c>
      <c r="S33" s="35">
        <v>46102</v>
      </c>
      <c r="T33" s="11"/>
    </row>
    <row r="34" spans="1:20" s="10" customFormat="1" ht="23.25" customHeight="1">
      <c r="A34" s="11" t="s">
        <v>48</v>
      </c>
      <c r="B34" s="11"/>
      <c r="C34" s="11"/>
      <c r="D34" s="11"/>
      <c r="E34" s="11"/>
      <c r="F34" s="13"/>
      <c r="G34" s="13"/>
      <c r="H34" s="13"/>
      <c r="I34" s="14"/>
      <c r="J34" s="13"/>
      <c r="K34" s="15"/>
      <c r="L34" s="13"/>
      <c r="M34" s="11"/>
      <c r="N34" s="11">
        <v>28178</v>
      </c>
      <c r="O34" s="29">
        <v>550000</v>
      </c>
      <c r="P34" s="35" t="s">
        <v>53</v>
      </c>
      <c r="Q34" s="35" t="s">
        <v>54</v>
      </c>
      <c r="R34" s="29" t="s">
        <v>37</v>
      </c>
      <c r="S34" s="35">
        <v>46102</v>
      </c>
      <c r="T34" s="11"/>
    </row>
    <row r="35" spans="1:20" s="10" customFormat="1" ht="23.25" customHeight="1">
      <c r="A35" s="11" t="s">
        <v>48</v>
      </c>
      <c r="B35" s="11"/>
      <c r="C35" s="11"/>
      <c r="D35" s="11"/>
      <c r="E35" s="11"/>
      <c r="F35" s="13"/>
      <c r="G35" s="13"/>
      <c r="H35" s="13"/>
      <c r="I35" s="14"/>
      <c r="J35" s="13"/>
      <c r="K35" s="15"/>
      <c r="L35" s="13"/>
      <c r="M35" s="11"/>
      <c r="N35" s="11">
        <v>28171</v>
      </c>
      <c r="O35" s="29">
        <v>550000</v>
      </c>
      <c r="P35" s="35" t="s">
        <v>53</v>
      </c>
      <c r="Q35" s="35" t="s">
        <v>61</v>
      </c>
      <c r="R35" s="29" t="s">
        <v>37</v>
      </c>
      <c r="S35" s="35">
        <v>46102</v>
      </c>
      <c r="T35" s="11"/>
    </row>
    <row r="36" spans="1:20" s="10" customFormat="1" ht="23.25" customHeight="1">
      <c r="A36" s="11" t="s">
        <v>48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>
        <v>28172</v>
      </c>
      <c r="O36" s="29">
        <v>550000</v>
      </c>
      <c r="P36" s="35" t="s">
        <v>53</v>
      </c>
      <c r="Q36" s="35" t="s">
        <v>54</v>
      </c>
      <c r="R36" s="29" t="s">
        <v>37</v>
      </c>
      <c r="S36" s="35">
        <v>46102</v>
      </c>
      <c r="T36" s="11"/>
    </row>
    <row r="37" spans="1:20" s="10" customFormat="1" ht="23.25" customHeight="1">
      <c r="A37" s="11" t="s">
        <v>48</v>
      </c>
      <c r="B37" s="11"/>
      <c r="C37" s="11"/>
      <c r="D37" s="11"/>
      <c r="E37" s="11"/>
      <c r="F37" s="13"/>
      <c r="G37" s="13"/>
      <c r="H37" s="13"/>
      <c r="I37" s="14"/>
      <c r="J37" s="13"/>
      <c r="K37" s="15"/>
      <c r="L37" s="13"/>
      <c r="M37" s="11"/>
      <c r="N37" s="11">
        <v>28169</v>
      </c>
      <c r="O37" s="29">
        <v>550000</v>
      </c>
      <c r="P37" s="35" t="s">
        <v>53</v>
      </c>
      <c r="Q37" s="35" t="s">
        <v>54</v>
      </c>
      <c r="R37" s="29" t="s">
        <v>37</v>
      </c>
      <c r="S37" s="35">
        <v>46102</v>
      </c>
      <c r="T37" s="11"/>
    </row>
    <row r="38" spans="1:20" s="10" customFormat="1" ht="23.25" customHeight="1">
      <c r="A38" s="39"/>
      <c r="B38" s="40" t="s">
        <v>47</v>
      </c>
      <c r="C38" s="40" t="s">
        <v>47</v>
      </c>
      <c r="D38" s="40" t="s">
        <v>47</v>
      </c>
      <c r="E38" s="40" t="s">
        <v>47</v>
      </c>
      <c r="F38" s="41">
        <f>SUM(F28:F35)</f>
        <v>54</v>
      </c>
      <c r="G38" s="41">
        <f>SUM(G28:G35)</f>
        <v>2338.1999999999998</v>
      </c>
      <c r="H38" s="41">
        <f>SUM(H28:H35)</f>
        <v>2338.1999999999998</v>
      </c>
      <c r="I38" s="41">
        <f>SUM(I28:I35)</f>
        <v>1450</v>
      </c>
      <c r="J38" s="41">
        <f>SUM(J28:J35)</f>
        <v>122.976</v>
      </c>
      <c r="K38" s="42"/>
      <c r="L38" s="42"/>
      <c r="M38" s="42"/>
      <c r="N38" s="42"/>
      <c r="O38" s="42"/>
      <c r="P38" s="42"/>
      <c r="Q38" s="42"/>
      <c r="R38" s="42"/>
      <c r="S38" s="42"/>
      <c r="T38" s="49"/>
    </row>
    <row r="39" spans="1:20" s="10" customFormat="1" ht="23.25" customHeight="1">
      <c r="A39" s="11" t="s">
        <v>62</v>
      </c>
      <c r="B39" s="11" t="s">
        <v>63</v>
      </c>
      <c r="C39" s="11" t="s">
        <v>64</v>
      </c>
      <c r="D39" s="11" t="s">
        <v>64</v>
      </c>
      <c r="E39" s="11" t="s">
        <v>65</v>
      </c>
      <c r="F39" s="28">
        <v>48</v>
      </c>
      <c r="G39" s="29">
        <v>2078.4</v>
      </c>
      <c r="H39" s="13">
        <v>1034.835</v>
      </c>
      <c r="I39" s="30">
        <v>434.80599999999998</v>
      </c>
      <c r="J39" s="29">
        <v>264.01600000000002</v>
      </c>
      <c r="K39" s="15" t="s">
        <v>66</v>
      </c>
      <c r="L39" s="16" t="s">
        <v>67</v>
      </c>
      <c r="M39" s="43" t="s">
        <v>68</v>
      </c>
      <c r="N39" s="11">
        <v>2260760004</v>
      </c>
      <c r="O39" s="29">
        <v>13750000</v>
      </c>
      <c r="P39" s="35" t="s">
        <v>69</v>
      </c>
      <c r="Q39" s="35" t="s">
        <v>70</v>
      </c>
      <c r="R39" s="29" t="s">
        <v>37</v>
      </c>
      <c r="S39" s="50">
        <v>46099</v>
      </c>
      <c r="T39" s="11"/>
    </row>
    <row r="40" spans="1:20" s="10" customFormat="1" ht="23.25" customHeight="1">
      <c r="A40" s="39"/>
      <c r="B40" s="40" t="s">
        <v>47</v>
      </c>
      <c r="C40" s="40" t="s">
        <v>47</v>
      </c>
      <c r="D40" s="40" t="s">
        <v>47</v>
      </c>
      <c r="E40" s="40" t="s">
        <v>47</v>
      </c>
      <c r="F40" s="41">
        <f t="shared" ref="F40:I40" si="1">SUM(F39)</f>
        <v>48</v>
      </c>
      <c r="G40" s="41">
        <f t="shared" si="1"/>
        <v>2078.4</v>
      </c>
      <c r="H40" s="41">
        <f t="shared" si="1"/>
        <v>1034.835</v>
      </c>
      <c r="I40" s="41">
        <f t="shared" si="1"/>
        <v>434.80599999999998</v>
      </c>
      <c r="J40" s="41">
        <f>SUM(J39)</f>
        <v>264.01600000000002</v>
      </c>
      <c r="K40" s="42"/>
      <c r="L40" s="42"/>
      <c r="M40" s="42"/>
      <c r="N40" s="42"/>
      <c r="O40" s="42"/>
      <c r="P40" s="42"/>
      <c r="Q40" s="42"/>
      <c r="R40" s="42"/>
      <c r="S40" s="42"/>
      <c r="T40" s="51"/>
    </row>
    <row r="41" spans="1:20" s="10" customFormat="1" ht="23.25" customHeight="1">
      <c r="A41" s="11" t="s">
        <v>71</v>
      </c>
      <c r="B41" s="11" t="s">
        <v>72</v>
      </c>
      <c r="C41" s="11" t="s">
        <v>73</v>
      </c>
      <c r="D41" s="11" t="s">
        <v>73</v>
      </c>
      <c r="E41" s="11" t="s">
        <v>74</v>
      </c>
      <c r="F41" s="28">
        <v>36</v>
      </c>
      <c r="G41" s="29">
        <v>1558.8</v>
      </c>
      <c r="H41" s="13">
        <v>1558.76</v>
      </c>
      <c r="I41" s="30">
        <v>1044.018</v>
      </c>
      <c r="J41" s="29">
        <v>7.8940000000000001</v>
      </c>
      <c r="K41" s="15" t="s">
        <v>25</v>
      </c>
      <c r="L41" s="16" t="s">
        <v>67</v>
      </c>
      <c r="M41" s="43" t="s">
        <v>68</v>
      </c>
      <c r="N41" s="52" t="s">
        <v>75</v>
      </c>
      <c r="O41" s="29">
        <v>5500000</v>
      </c>
      <c r="P41" s="35">
        <v>46086</v>
      </c>
      <c r="Q41" s="35" t="s">
        <v>76</v>
      </c>
      <c r="R41" s="29" t="s">
        <v>37</v>
      </c>
      <c r="S41" s="50">
        <v>46087</v>
      </c>
      <c r="T41" s="11"/>
    </row>
    <row r="42" spans="1:20" s="10" customFormat="1" ht="23.25" customHeight="1">
      <c r="A42" s="11" t="s">
        <v>71</v>
      </c>
      <c r="B42" s="11" t="s">
        <v>77</v>
      </c>
      <c r="C42" s="11" t="s">
        <v>78</v>
      </c>
      <c r="D42" s="11" t="s">
        <v>78</v>
      </c>
      <c r="E42" s="11" t="s">
        <v>79</v>
      </c>
      <c r="F42" s="28">
        <v>36</v>
      </c>
      <c r="G42" s="29">
        <v>1558.8</v>
      </c>
      <c r="H42" s="13">
        <v>1558.8</v>
      </c>
      <c r="I42" s="30">
        <v>1043.856</v>
      </c>
      <c r="J42" s="29">
        <v>3.1509999999999998</v>
      </c>
      <c r="K42" s="15" t="s">
        <v>25</v>
      </c>
      <c r="L42" s="16" t="s">
        <v>67</v>
      </c>
      <c r="M42" s="43" t="s">
        <v>68</v>
      </c>
      <c r="N42" s="11">
        <v>1542043</v>
      </c>
      <c r="O42" s="29">
        <v>2200000</v>
      </c>
      <c r="P42" s="35">
        <v>46112</v>
      </c>
      <c r="Q42" s="35" t="s">
        <v>80</v>
      </c>
      <c r="R42" s="29" t="s">
        <v>37</v>
      </c>
      <c r="S42" s="50">
        <v>46114</v>
      </c>
      <c r="T42" s="11"/>
    </row>
    <row r="43" spans="1:20" s="10" customFormat="1" ht="23.25" customHeight="1">
      <c r="A43" s="11" t="s">
        <v>71</v>
      </c>
      <c r="B43" s="11" t="s">
        <v>81</v>
      </c>
      <c r="C43" s="11" t="s">
        <v>82</v>
      </c>
      <c r="D43" s="11" t="s">
        <v>82</v>
      </c>
      <c r="E43" s="11" t="s">
        <v>83</v>
      </c>
      <c r="F43" s="28">
        <v>36</v>
      </c>
      <c r="G43" s="29">
        <v>1558.8</v>
      </c>
      <c r="H43" s="13">
        <v>1315.7660000000001</v>
      </c>
      <c r="I43" s="30">
        <f>637.865+83</f>
        <v>720.86500000000001</v>
      </c>
      <c r="J43" s="29">
        <v>246.13200000000001</v>
      </c>
      <c r="K43" s="15" t="s">
        <v>25</v>
      </c>
      <c r="L43" s="16" t="s">
        <v>67</v>
      </c>
      <c r="M43" s="43" t="s">
        <v>68</v>
      </c>
      <c r="N43" s="53">
        <v>50301327334488</v>
      </c>
      <c r="O43" s="29">
        <v>3300000</v>
      </c>
      <c r="P43" s="35">
        <v>46112</v>
      </c>
      <c r="Q43" s="35" t="s">
        <v>80</v>
      </c>
      <c r="R43" s="29" t="s">
        <v>37</v>
      </c>
      <c r="S43" s="50">
        <v>46114</v>
      </c>
      <c r="T43" s="11"/>
    </row>
    <row r="44" spans="1:20" s="10" customFormat="1" ht="23.25" customHeight="1">
      <c r="A44" s="11" t="s">
        <v>71</v>
      </c>
      <c r="B44" s="11" t="s">
        <v>84</v>
      </c>
      <c r="C44" s="11" t="s">
        <v>85</v>
      </c>
      <c r="D44" s="11" t="s">
        <v>85</v>
      </c>
      <c r="E44" s="11" t="s">
        <v>86</v>
      </c>
      <c r="F44" s="28">
        <v>36</v>
      </c>
      <c r="G44" s="29">
        <v>1558.8</v>
      </c>
      <c r="H44" s="13">
        <v>476.3</v>
      </c>
      <c r="I44" s="30">
        <v>203</v>
      </c>
      <c r="J44" s="29">
        <v>117.28100000000001</v>
      </c>
      <c r="K44" s="15" t="s">
        <v>25</v>
      </c>
      <c r="L44" s="16" t="s">
        <v>67</v>
      </c>
      <c r="M44" s="43" t="s">
        <v>68</v>
      </c>
      <c r="N44" s="54" t="s">
        <v>87</v>
      </c>
      <c r="O44" s="29">
        <v>1100000</v>
      </c>
      <c r="P44" s="35">
        <v>46164</v>
      </c>
      <c r="Q44" s="35" t="s">
        <v>88</v>
      </c>
      <c r="R44" s="29" t="s">
        <v>37</v>
      </c>
      <c r="S44" s="50">
        <v>46165</v>
      </c>
      <c r="T44" s="11"/>
    </row>
    <row r="45" spans="1:20" s="10" customFormat="1" ht="23.25" customHeight="1">
      <c r="A45" s="39"/>
      <c r="B45" s="55" t="s">
        <v>47</v>
      </c>
      <c r="C45" s="55" t="s">
        <v>47</v>
      </c>
      <c r="D45" s="55" t="s">
        <v>47</v>
      </c>
      <c r="E45" s="55" t="s">
        <v>47</v>
      </c>
      <c r="F45" s="56">
        <f t="shared" ref="F45:I45" si="2">SUM(F41:F44)</f>
        <v>144</v>
      </c>
      <c r="G45" s="41">
        <f t="shared" si="2"/>
        <v>6235.2</v>
      </c>
      <c r="H45" s="41">
        <f t="shared" si="2"/>
        <v>4909.6260000000002</v>
      </c>
      <c r="I45" s="41">
        <f t="shared" si="2"/>
        <v>3011.7389999999996</v>
      </c>
      <c r="J45" s="41">
        <f>SUM(J41:J44)</f>
        <v>374.45800000000003</v>
      </c>
      <c r="K45" s="42"/>
      <c r="L45" s="42"/>
      <c r="M45" s="42"/>
      <c r="N45" s="42"/>
      <c r="O45" s="42"/>
      <c r="P45" s="42"/>
      <c r="Q45" s="42"/>
      <c r="R45" s="42"/>
      <c r="S45" s="42"/>
      <c r="T45" s="41"/>
    </row>
    <row r="46" spans="1:20" s="10" customFormat="1" ht="23.25" customHeight="1">
      <c r="A46" s="57" t="s">
        <v>89</v>
      </c>
      <c r="B46" s="11" t="s">
        <v>90</v>
      </c>
      <c r="C46" s="11" t="s">
        <v>91</v>
      </c>
      <c r="D46" s="11" t="s">
        <v>91</v>
      </c>
      <c r="E46" s="11" t="s">
        <v>92</v>
      </c>
      <c r="F46" s="13">
        <v>18</v>
      </c>
      <c r="G46" s="58">
        <v>779.4</v>
      </c>
      <c r="H46" s="13">
        <v>58.503</v>
      </c>
      <c r="I46" s="14">
        <v>0</v>
      </c>
      <c r="J46" s="13">
        <v>39.588999999999999</v>
      </c>
      <c r="K46" s="15" t="s">
        <v>93</v>
      </c>
      <c r="L46" s="16" t="s">
        <v>94</v>
      </c>
      <c r="M46" s="43" t="s">
        <v>95</v>
      </c>
      <c r="N46" s="52" t="s">
        <v>96</v>
      </c>
      <c r="O46" s="59">
        <v>7700000</v>
      </c>
      <c r="P46" s="35" t="s">
        <v>91</v>
      </c>
      <c r="Q46" s="35" t="s">
        <v>97</v>
      </c>
      <c r="R46" s="29" t="s">
        <v>37</v>
      </c>
      <c r="S46" s="52" t="s">
        <v>98</v>
      </c>
      <c r="T46" s="11"/>
    </row>
    <row r="47" spans="1:20" s="10" customFormat="1" ht="23.25" customHeight="1">
      <c r="A47" s="57" t="s">
        <v>89</v>
      </c>
      <c r="B47" s="11"/>
      <c r="C47" s="11"/>
      <c r="D47" s="11"/>
      <c r="E47" s="11"/>
      <c r="F47" s="13"/>
      <c r="G47" s="58"/>
      <c r="H47" s="13"/>
      <c r="I47" s="14"/>
      <c r="J47" s="13"/>
      <c r="K47" s="15" t="s">
        <v>25</v>
      </c>
      <c r="L47" s="16" t="s">
        <v>94</v>
      </c>
      <c r="M47" s="43" t="s">
        <v>95</v>
      </c>
      <c r="N47" s="52" t="s">
        <v>99</v>
      </c>
      <c r="O47" s="59">
        <v>550000</v>
      </c>
      <c r="P47" s="35" t="s">
        <v>91</v>
      </c>
      <c r="Q47" s="35" t="s">
        <v>100</v>
      </c>
      <c r="R47" s="29" t="s">
        <v>37</v>
      </c>
      <c r="S47" s="52" t="s">
        <v>98</v>
      </c>
      <c r="T47" s="18"/>
    </row>
    <row r="48" spans="1:20" s="10" customFormat="1" ht="23.25" customHeight="1">
      <c r="A48" s="42"/>
      <c r="B48" s="51" t="s">
        <v>47</v>
      </c>
      <c r="C48" s="51" t="s">
        <v>47</v>
      </c>
      <c r="D48" s="51" t="s">
        <v>47</v>
      </c>
      <c r="E48" s="51" t="s">
        <v>47</v>
      </c>
      <c r="F48" s="51">
        <f t="shared" ref="F48:I48" si="3">SUM(F46)</f>
        <v>18</v>
      </c>
      <c r="G48" s="60">
        <f t="shared" si="3"/>
        <v>779.4</v>
      </c>
      <c r="H48" s="41">
        <f t="shared" si="3"/>
        <v>58.503</v>
      </c>
      <c r="I48" s="41">
        <f t="shared" si="3"/>
        <v>0</v>
      </c>
      <c r="J48" s="41">
        <f>SUM(J46)</f>
        <v>39.588999999999999</v>
      </c>
      <c r="K48" s="42"/>
      <c r="L48" s="42"/>
      <c r="M48" s="42"/>
      <c r="N48" s="42"/>
      <c r="O48" s="42"/>
      <c r="P48" s="42"/>
      <c r="Q48" s="42"/>
      <c r="R48" s="42"/>
      <c r="S48" s="42"/>
      <c r="T48" s="42"/>
    </row>
    <row r="49" spans="1:27" s="10" customFormat="1" ht="23.25" customHeight="1">
      <c r="A49" s="11" t="s">
        <v>101</v>
      </c>
      <c r="B49" s="38" t="s">
        <v>102</v>
      </c>
      <c r="C49" s="38" t="s">
        <v>103</v>
      </c>
      <c r="D49" s="38" t="s">
        <v>103</v>
      </c>
      <c r="E49" s="38" t="s">
        <v>104</v>
      </c>
      <c r="F49" s="61">
        <v>18</v>
      </c>
      <c r="G49" s="29">
        <v>779.4</v>
      </c>
      <c r="H49" s="13">
        <v>724.529</v>
      </c>
      <c r="I49" s="30">
        <v>290</v>
      </c>
      <c r="J49" s="29">
        <v>197.38800000000001</v>
      </c>
      <c r="K49" s="15" t="s">
        <v>66</v>
      </c>
      <c r="L49" s="16" t="s">
        <v>105</v>
      </c>
      <c r="M49" s="43" t="s">
        <v>4</v>
      </c>
      <c r="N49" s="52" t="s">
        <v>106</v>
      </c>
      <c r="O49" s="59">
        <v>10000000</v>
      </c>
      <c r="P49" s="35">
        <v>46063</v>
      </c>
      <c r="Q49" s="35">
        <v>46998</v>
      </c>
      <c r="R49" s="29" t="s">
        <v>37</v>
      </c>
      <c r="S49" s="62">
        <v>46065</v>
      </c>
      <c r="T49" s="11"/>
    </row>
    <row r="50" spans="1:27" s="10" customFormat="1" ht="23.25" customHeight="1">
      <c r="A50" s="39"/>
      <c r="B50" s="40" t="s">
        <v>47</v>
      </c>
      <c r="C50" s="40" t="s">
        <v>47</v>
      </c>
      <c r="D50" s="40" t="s">
        <v>47</v>
      </c>
      <c r="E50" s="40" t="s">
        <v>47</v>
      </c>
      <c r="F50" s="41">
        <f t="shared" ref="F50:I50" si="4">SUM(F49)</f>
        <v>18</v>
      </c>
      <c r="G50" s="41">
        <f t="shared" si="4"/>
        <v>779.4</v>
      </c>
      <c r="H50" s="41">
        <f t="shared" si="4"/>
        <v>724.529</v>
      </c>
      <c r="I50" s="41">
        <f t="shared" si="4"/>
        <v>290</v>
      </c>
      <c r="J50" s="41">
        <f>SUM(J49)</f>
        <v>197.38800000000001</v>
      </c>
      <c r="K50" s="42"/>
      <c r="L50" s="42"/>
      <c r="M50" s="42"/>
      <c r="N50" s="42"/>
      <c r="O50" s="42"/>
      <c r="P50" s="42"/>
      <c r="Q50" s="42"/>
      <c r="R50" s="42"/>
      <c r="S50" s="42"/>
      <c r="T50" s="42"/>
    </row>
    <row r="51" spans="1:27" s="10" customFormat="1" ht="23.25" customHeight="1">
      <c r="A51" s="11" t="s">
        <v>107</v>
      </c>
      <c r="B51" s="11" t="s">
        <v>108</v>
      </c>
      <c r="C51" s="11" t="s">
        <v>109</v>
      </c>
      <c r="D51" s="11" t="s">
        <v>109</v>
      </c>
      <c r="E51" s="11" t="s">
        <v>110</v>
      </c>
      <c r="F51" s="28">
        <v>45</v>
      </c>
      <c r="G51" s="29">
        <v>1948.5</v>
      </c>
      <c r="H51" s="13">
        <v>1948.5</v>
      </c>
      <c r="I51" s="30">
        <v>434.60700000000003</v>
      </c>
      <c r="J51" s="29">
        <v>88.460999999999999</v>
      </c>
      <c r="K51" s="15" t="s">
        <v>66</v>
      </c>
      <c r="L51" s="16" t="s">
        <v>67</v>
      </c>
      <c r="M51" s="43" t="s">
        <v>68</v>
      </c>
      <c r="N51" s="52" t="s">
        <v>111</v>
      </c>
      <c r="O51" s="59">
        <v>24750000</v>
      </c>
      <c r="P51" s="35">
        <v>46078</v>
      </c>
      <c r="Q51" s="35">
        <v>46443</v>
      </c>
      <c r="R51" s="29" t="s">
        <v>37</v>
      </c>
      <c r="S51" s="63">
        <v>46078</v>
      </c>
      <c r="T51" s="11"/>
    </row>
    <row r="52" spans="1:27" s="10" customFormat="1" ht="23.25" customHeight="1">
      <c r="A52" s="11" t="s">
        <v>107</v>
      </c>
      <c r="B52" s="11" t="s">
        <v>112</v>
      </c>
      <c r="C52" s="11" t="s">
        <v>113</v>
      </c>
      <c r="D52" s="11" t="s">
        <v>113</v>
      </c>
      <c r="E52" s="11" t="s">
        <v>114</v>
      </c>
      <c r="F52" s="28">
        <v>45</v>
      </c>
      <c r="G52" s="29">
        <v>1948.5</v>
      </c>
      <c r="H52" s="13">
        <v>1948.5</v>
      </c>
      <c r="I52" s="30">
        <v>87</v>
      </c>
      <c r="J52" s="29">
        <v>374.98500000000001</v>
      </c>
      <c r="K52" s="15"/>
      <c r="L52" s="64"/>
      <c r="M52" s="11"/>
      <c r="N52" s="11"/>
      <c r="O52" s="11"/>
      <c r="P52" s="11"/>
      <c r="Q52" s="11"/>
      <c r="R52" s="11"/>
      <c r="S52" s="11"/>
      <c r="T52" s="11"/>
    </row>
    <row r="53" spans="1:27" s="10" customFormat="1" ht="23.25" customHeight="1">
      <c r="A53" s="11" t="s">
        <v>107</v>
      </c>
      <c r="B53" s="11" t="s">
        <v>115</v>
      </c>
      <c r="C53" s="11" t="s">
        <v>116</v>
      </c>
      <c r="D53" s="11" t="s">
        <v>116</v>
      </c>
      <c r="E53" s="11" t="s">
        <v>117</v>
      </c>
      <c r="F53" s="28">
        <v>45</v>
      </c>
      <c r="G53" s="29">
        <v>1948.5</v>
      </c>
      <c r="H53" s="13">
        <v>1948.5</v>
      </c>
      <c r="I53" s="30">
        <v>1305.0129999999999</v>
      </c>
      <c r="J53" s="29">
        <v>13.537000000000001</v>
      </c>
      <c r="K53" s="15"/>
      <c r="L53" s="64"/>
      <c r="M53" s="11"/>
      <c r="N53" s="11"/>
      <c r="O53" s="11"/>
      <c r="P53" s="11"/>
      <c r="Q53" s="11"/>
      <c r="R53" s="11"/>
      <c r="S53" s="11"/>
      <c r="T53" s="11"/>
    </row>
    <row r="54" spans="1:27" s="10" customFormat="1" ht="23.25" customHeight="1">
      <c r="A54" s="11" t="s">
        <v>107</v>
      </c>
      <c r="B54" s="11" t="s">
        <v>118</v>
      </c>
      <c r="C54" s="11" t="s">
        <v>119</v>
      </c>
      <c r="D54" s="11" t="s">
        <v>119</v>
      </c>
      <c r="E54" s="11" t="s">
        <v>120</v>
      </c>
      <c r="F54" s="28">
        <v>18</v>
      </c>
      <c r="G54" s="29">
        <v>779.4</v>
      </c>
      <c r="H54" s="13">
        <v>779.4</v>
      </c>
      <c r="I54" s="30">
        <v>1275.8330000000001</v>
      </c>
      <c r="J54" s="29">
        <v>39.235999999999997</v>
      </c>
      <c r="K54" s="15"/>
      <c r="L54" s="64"/>
      <c r="M54" s="11"/>
      <c r="N54" s="11"/>
      <c r="O54" s="11"/>
      <c r="P54" s="11"/>
      <c r="Q54" s="11"/>
      <c r="R54" s="11"/>
      <c r="S54" s="11"/>
      <c r="T54" s="11"/>
    </row>
    <row r="55" spans="1:27" s="10" customFormat="1" ht="23.25" customHeight="1">
      <c r="A55" s="11" t="s">
        <v>107</v>
      </c>
      <c r="B55" s="11" t="s">
        <v>121</v>
      </c>
      <c r="C55" s="11" t="s">
        <v>122</v>
      </c>
      <c r="D55" s="11" t="s">
        <v>122</v>
      </c>
      <c r="E55" s="11" t="s">
        <v>123</v>
      </c>
      <c r="F55" s="28">
        <v>18</v>
      </c>
      <c r="G55" s="29">
        <v>779.4</v>
      </c>
      <c r="H55" s="13">
        <v>683.98900000000003</v>
      </c>
      <c r="I55" s="30">
        <v>1304.537</v>
      </c>
      <c r="J55" s="29">
        <v>3.569</v>
      </c>
      <c r="K55" s="15"/>
      <c r="L55" s="64"/>
      <c r="M55" s="11"/>
      <c r="N55" s="11"/>
      <c r="O55" s="11"/>
      <c r="P55" s="11"/>
      <c r="Q55" s="11"/>
      <c r="R55" s="11"/>
      <c r="S55" s="11"/>
      <c r="T55" s="11"/>
    </row>
    <row r="56" spans="1:27" s="10" customFormat="1" ht="23.25" customHeight="1">
      <c r="A56" s="11" t="s">
        <v>107</v>
      </c>
      <c r="B56" s="11" t="s">
        <v>124</v>
      </c>
      <c r="C56" s="11" t="s">
        <v>125</v>
      </c>
      <c r="D56" s="11" t="s">
        <v>125</v>
      </c>
      <c r="E56" s="11" t="s">
        <v>126</v>
      </c>
      <c r="F56" s="28">
        <v>18</v>
      </c>
      <c r="G56" s="29">
        <v>779.4</v>
      </c>
      <c r="H56" s="13">
        <v>0</v>
      </c>
      <c r="I56" s="30">
        <v>0</v>
      </c>
      <c r="J56" s="29">
        <v>0</v>
      </c>
      <c r="K56" s="15"/>
      <c r="L56" s="64"/>
      <c r="M56" s="11"/>
      <c r="N56" s="11"/>
      <c r="O56" s="11"/>
      <c r="P56" s="11"/>
      <c r="Q56" s="11"/>
      <c r="R56" s="11"/>
      <c r="S56" s="11"/>
      <c r="T56" s="11"/>
    </row>
    <row r="57" spans="1:27" s="10" customFormat="1" ht="23.25" customHeight="1">
      <c r="A57" s="39"/>
      <c r="B57" s="40" t="s">
        <v>47</v>
      </c>
      <c r="C57" s="40" t="s">
        <v>47</v>
      </c>
      <c r="D57" s="40" t="s">
        <v>47</v>
      </c>
      <c r="E57" s="40" t="s">
        <v>47</v>
      </c>
      <c r="F57" s="41">
        <f t="shared" ref="F57:I57" si="5">SUM(F51:F56)</f>
        <v>189</v>
      </c>
      <c r="G57" s="41">
        <f t="shared" si="5"/>
        <v>8183.6999999999989</v>
      </c>
      <c r="H57" s="41">
        <f t="shared" si="5"/>
        <v>7308.8889999999992</v>
      </c>
      <c r="I57" s="41">
        <f t="shared" si="5"/>
        <v>4406.99</v>
      </c>
      <c r="J57" s="41">
        <f>SUM(J51:J56)</f>
        <v>519.78800000000001</v>
      </c>
      <c r="K57" s="42"/>
      <c r="L57" s="42"/>
      <c r="M57" s="42"/>
      <c r="N57" s="49"/>
      <c r="O57" s="49"/>
      <c r="P57" s="49"/>
      <c r="Q57" s="49"/>
      <c r="R57" s="49"/>
      <c r="S57" s="65"/>
      <c r="T57" s="65"/>
    </row>
    <row r="58" spans="1:27" s="10" customFormat="1" ht="23.25" customHeight="1">
      <c r="A58" s="11" t="s">
        <v>127</v>
      </c>
      <c r="B58" s="11" t="s">
        <v>128</v>
      </c>
      <c r="C58" s="11" t="s">
        <v>129</v>
      </c>
      <c r="D58" s="11" t="s">
        <v>129</v>
      </c>
      <c r="E58" s="11" t="s">
        <v>130</v>
      </c>
      <c r="F58" s="13">
        <v>30</v>
      </c>
      <c r="G58" s="13">
        <v>1299</v>
      </c>
      <c r="H58" s="13">
        <v>1299</v>
      </c>
      <c r="I58" s="14">
        <v>57.962000000000003</v>
      </c>
      <c r="J58" s="13">
        <v>3.2759999999999998</v>
      </c>
      <c r="K58" s="15" t="s">
        <v>35</v>
      </c>
      <c r="L58" s="16" t="s">
        <v>105</v>
      </c>
      <c r="M58" s="11" t="s">
        <v>131</v>
      </c>
      <c r="N58" s="52">
        <v>341775</v>
      </c>
      <c r="O58" s="13">
        <v>550000</v>
      </c>
      <c r="P58" s="36">
        <v>46122</v>
      </c>
      <c r="Q58" s="62">
        <v>46487</v>
      </c>
      <c r="R58" s="13" t="s">
        <v>37</v>
      </c>
      <c r="S58" s="62">
        <v>46127</v>
      </c>
      <c r="T58" s="11"/>
    </row>
    <row r="59" spans="1:27" s="10" customFormat="1" ht="23.25" customHeight="1">
      <c r="A59" s="11" t="s">
        <v>127</v>
      </c>
      <c r="B59" s="11" t="s">
        <v>132</v>
      </c>
      <c r="C59" s="11" t="s">
        <v>44</v>
      </c>
      <c r="D59" s="11" t="s">
        <v>44</v>
      </c>
      <c r="E59" s="11" t="s">
        <v>133</v>
      </c>
      <c r="F59" s="13">
        <v>24</v>
      </c>
      <c r="G59" s="13">
        <v>1039.2</v>
      </c>
      <c r="H59" s="13">
        <v>303.10000000000002</v>
      </c>
      <c r="I59" s="14">
        <v>869.95500000000004</v>
      </c>
      <c r="J59" s="13">
        <v>0</v>
      </c>
      <c r="K59" s="15" t="s">
        <v>35</v>
      </c>
      <c r="L59" s="16" t="s">
        <v>105</v>
      </c>
      <c r="M59" s="11" t="s">
        <v>131</v>
      </c>
      <c r="N59" s="52">
        <v>341776</v>
      </c>
      <c r="O59" s="13">
        <v>550000</v>
      </c>
      <c r="P59" s="36">
        <v>46122</v>
      </c>
      <c r="Q59" s="62">
        <v>46487</v>
      </c>
      <c r="R59" s="13" t="s">
        <v>37</v>
      </c>
      <c r="S59" s="62">
        <v>46127</v>
      </c>
      <c r="T59" s="11"/>
    </row>
    <row r="60" spans="1:27" s="10" customFormat="1" ht="23.25" customHeight="1">
      <c r="A60" s="11" t="s">
        <v>127</v>
      </c>
      <c r="B60" s="11"/>
      <c r="C60" s="11"/>
      <c r="D60" s="11"/>
      <c r="E60" s="11"/>
      <c r="F60" s="13"/>
      <c r="G60" s="13"/>
      <c r="H60" s="13"/>
      <c r="I60" s="14"/>
      <c r="J60" s="13"/>
      <c r="K60" s="15" t="s">
        <v>35</v>
      </c>
      <c r="L60" s="16" t="s">
        <v>105</v>
      </c>
      <c r="M60" s="11" t="s">
        <v>131</v>
      </c>
      <c r="N60" s="52">
        <v>341783</v>
      </c>
      <c r="O60" s="13">
        <v>550000</v>
      </c>
      <c r="P60" s="36" t="s">
        <v>134</v>
      </c>
      <c r="Q60" s="52" t="s">
        <v>135</v>
      </c>
      <c r="R60" s="13" t="s">
        <v>37</v>
      </c>
      <c r="S60" s="62">
        <v>46127</v>
      </c>
      <c r="T60" s="11"/>
      <c r="AA60" s="11"/>
    </row>
    <row r="61" spans="1:27" s="10" customFormat="1" ht="23.25" customHeight="1">
      <c r="A61" s="11" t="s">
        <v>127</v>
      </c>
      <c r="B61" s="11"/>
      <c r="C61" s="11"/>
      <c r="D61" s="11"/>
      <c r="E61" s="11"/>
      <c r="F61" s="13"/>
      <c r="G61" s="13"/>
      <c r="H61" s="13"/>
      <c r="I61" s="14"/>
      <c r="J61" s="13"/>
      <c r="K61" s="15" t="s">
        <v>35</v>
      </c>
      <c r="L61" s="16" t="s">
        <v>105</v>
      </c>
      <c r="M61" s="11" t="s">
        <v>131</v>
      </c>
      <c r="N61" s="52">
        <v>341784</v>
      </c>
      <c r="O61" s="13">
        <v>550000</v>
      </c>
      <c r="P61" s="36" t="s">
        <v>134</v>
      </c>
      <c r="Q61" s="52" t="s">
        <v>135</v>
      </c>
      <c r="R61" s="13" t="s">
        <v>37</v>
      </c>
      <c r="S61" s="62">
        <v>46127</v>
      </c>
      <c r="T61" s="11"/>
    </row>
    <row r="62" spans="1:27" s="10" customFormat="1" ht="23.25" customHeight="1">
      <c r="A62" s="11" t="s">
        <v>127</v>
      </c>
      <c r="B62" s="11"/>
      <c r="C62" s="11"/>
      <c r="D62" s="11"/>
      <c r="E62" s="11"/>
      <c r="F62" s="13"/>
      <c r="G62" s="13"/>
      <c r="H62" s="13"/>
      <c r="I62" s="14"/>
      <c r="J62" s="13"/>
      <c r="K62" s="15" t="s">
        <v>35</v>
      </c>
      <c r="L62" s="16" t="s">
        <v>105</v>
      </c>
      <c r="M62" s="11" t="s">
        <v>131</v>
      </c>
      <c r="N62" s="52">
        <v>748011</v>
      </c>
      <c r="O62" s="13">
        <v>550000</v>
      </c>
      <c r="P62" s="36" t="s">
        <v>136</v>
      </c>
      <c r="Q62" s="52" t="s">
        <v>137</v>
      </c>
      <c r="R62" s="13" t="s">
        <v>37</v>
      </c>
      <c r="S62" s="62">
        <v>46174</v>
      </c>
      <c r="T62" s="11"/>
    </row>
    <row r="63" spans="1:27" s="10" customFormat="1" ht="23.25" customHeight="1">
      <c r="A63" s="11" t="s">
        <v>127</v>
      </c>
      <c r="B63" s="11"/>
      <c r="C63" s="11"/>
      <c r="D63" s="11"/>
      <c r="E63" s="11"/>
      <c r="F63" s="13"/>
      <c r="G63" s="13"/>
      <c r="H63" s="13"/>
      <c r="I63" s="14"/>
      <c r="J63" s="13"/>
      <c r="K63" s="15" t="s">
        <v>35</v>
      </c>
      <c r="L63" s="16" t="s">
        <v>105</v>
      </c>
      <c r="M63" s="11" t="s">
        <v>131</v>
      </c>
      <c r="N63" s="52">
        <v>748012</v>
      </c>
      <c r="O63" s="13">
        <v>550000</v>
      </c>
      <c r="P63" s="36" t="s">
        <v>136</v>
      </c>
      <c r="Q63" s="52" t="s">
        <v>137</v>
      </c>
      <c r="R63" s="13" t="s">
        <v>37</v>
      </c>
      <c r="S63" s="62">
        <v>46174</v>
      </c>
      <c r="T63" s="11"/>
    </row>
    <row r="64" spans="1:27" s="10" customFormat="1" ht="23.25" customHeight="1">
      <c r="A64" s="11" t="s">
        <v>127</v>
      </c>
      <c r="B64" s="11"/>
      <c r="C64" s="11"/>
      <c r="D64" s="11"/>
      <c r="E64" s="11"/>
      <c r="F64" s="13"/>
      <c r="G64" s="13"/>
      <c r="H64" s="13"/>
      <c r="I64" s="14"/>
      <c r="J64" s="13"/>
      <c r="K64" s="15" t="s">
        <v>35</v>
      </c>
      <c r="L64" s="16" t="s">
        <v>105</v>
      </c>
      <c r="M64" s="11" t="s">
        <v>131</v>
      </c>
      <c r="N64" s="52">
        <v>341800</v>
      </c>
      <c r="O64" s="13">
        <v>550000</v>
      </c>
      <c r="P64" s="36" t="s">
        <v>138</v>
      </c>
      <c r="Q64" s="52" t="s">
        <v>139</v>
      </c>
      <c r="R64" s="13" t="s">
        <v>37</v>
      </c>
      <c r="S64" s="62">
        <v>46156</v>
      </c>
      <c r="T64" s="11"/>
    </row>
    <row r="65" spans="1:20" s="10" customFormat="1" ht="23.25" customHeight="1">
      <c r="A65" s="11" t="s">
        <v>127</v>
      </c>
      <c r="B65" s="11"/>
      <c r="C65" s="11"/>
      <c r="D65" s="11"/>
      <c r="E65" s="11"/>
      <c r="F65" s="13"/>
      <c r="G65" s="13"/>
      <c r="H65" s="13"/>
      <c r="I65" s="14"/>
      <c r="J65" s="13"/>
      <c r="K65" s="15" t="s">
        <v>35</v>
      </c>
      <c r="L65" s="16" t="s">
        <v>105</v>
      </c>
      <c r="M65" s="11" t="s">
        <v>131</v>
      </c>
      <c r="N65" s="52">
        <v>748001</v>
      </c>
      <c r="O65" s="13">
        <v>550000</v>
      </c>
      <c r="P65" s="36" t="s">
        <v>138</v>
      </c>
      <c r="Q65" s="52" t="s">
        <v>139</v>
      </c>
      <c r="R65" s="13" t="s">
        <v>37</v>
      </c>
      <c r="S65" s="62">
        <v>46156</v>
      </c>
      <c r="T65" s="11"/>
    </row>
    <row r="66" spans="1:20" s="10" customFormat="1" ht="23.25" customHeight="1">
      <c r="A66" s="11" t="s">
        <v>127</v>
      </c>
      <c r="B66" s="11"/>
      <c r="C66" s="11"/>
      <c r="D66" s="11"/>
      <c r="E66" s="11"/>
      <c r="F66" s="13"/>
      <c r="G66" s="13"/>
      <c r="H66" s="13"/>
      <c r="I66" s="14"/>
      <c r="J66" s="13"/>
      <c r="K66" s="15" t="s">
        <v>35</v>
      </c>
      <c r="L66" s="16" t="s">
        <v>105</v>
      </c>
      <c r="M66" s="11" t="s">
        <v>131</v>
      </c>
      <c r="N66" s="52">
        <v>748031</v>
      </c>
      <c r="O66" s="13">
        <v>550000</v>
      </c>
      <c r="P66" s="36" t="s">
        <v>140</v>
      </c>
      <c r="Q66" s="52" t="s">
        <v>141</v>
      </c>
      <c r="R66" s="13" t="s">
        <v>37</v>
      </c>
      <c r="S66" s="62">
        <v>46219</v>
      </c>
      <c r="T66" s="11"/>
    </row>
    <row r="67" spans="1:20" s="10" customFormat="1" ht="23.25" customHeight="1">
      <c r="A67" s="11" t="s">
        <v>127</v>
      </c>
      <c r="B67" s="11"/>
      <c r="C67" s="11"/>
      <c r="D67" s="11"/>
      <c r="E67" s="11"/>
      <c r="F67" s="13"/>
      <c r="G67" s="13"/>
      <c r="H67" s="13"/>
      <c r="I67" s="14"/>
      <c r="J67" s="13"/>
      <c r="K67" s="15" t="s">
        <v>35</v>
      </c>
      <c r="L67" s="16" t="s">
        <v>105</v>
      </c>
      <c r="M67" s="11" t="s">
        <v>131</v>
      </c>
      <c r="N67" s="52">
        <v>748038</v>
      </c>
      <c r="O67" s="13">
        <v>550000</v>
      </c>
      <c r="P67" s="36" t="s">
        <v>142</v>
      </c>
      <c r="Q67" s="52" t="s">
        <v>143</v>
      </c>
      <c r="R67" s="13" t="s">
        <v>37</v>
      </c>
      <c r="S67" s="62">
        <v>46227</v>
      </c>
      <c r="T67" s="11"/>
    </row>
    <row r="68" spans="1:20" s="10" customFormat="1" ht="23.25" customHeight="1">
      <c r="A68" s="11" t="s">
        <v>127</v>
      </c>
      <c r="B68" s="11"/>
      <c r="C68" s="11"/>
      <c r="D68" s="11"/>
      <c r="E68" s="11"/>
      <c r="F68" s="13"/>
      <c r="G68" s="13"/>
      <c r="H68" s="13"/>
      <c r="I68" s="14"/>
      <c r="J68" s="13"/>
      <c r="K68" s="15" t="s">
        <v>35</v>
      </c>
      <c r="L68" s="16" t="s">
        <v>105</v>
      </c>
      <c r="M68" s="11" t="s">
        <v>131</v>
      </c>
      <c r="N68" s="52">
        <v>748325</v>
      </c>
      <c r="O68" s="13">
        <v>550000</v>
      </c>
      <c r="P68" s="36" t="s">
        <v>144</v>
      </c>
      <c r="Q68" s="52" t="s">
        <v>145</v>
      </c>
      <c r="R68" s="13" t="s">
        <v>37</v>
      </c>
      <c r="S68" s="62">
        <v>46252</v>
      </c>
      <c r="T68" s="11"/>
    </row>
    <row r="69" spans="1:20" s="10" customFormat="1" ht="23.25" customHeight="1">
      <c r="A69" s="11" t="s">
        <v>127</v>
      </c>
      <c r="B69" s="11"/>
      <c r="C69" s="11"/>
      <c r="D69" s="11"/>
      <c r="E69" s="11"/>
      <c r="F69" s="13"/>
      <c r="G69" s="13"/>
      <c r="H69" s="13"/>
      <c r="I69" s="14"/>
      <c r="J69" s="13"/>
      <c r="K69" s="15" t="s">
        <v>35</v>
      </c>
      <c r="L69" s="16" t="s">
        <v>105</v>
      </c>
      <c r="M69" s="11" t="s">
        <v>131</v>
      </c>
      <c r="N69" s="52">
        <v>748326</v>
      </c>
      <c r="O69" s="13">
        <v>550000</v>
      </c>
      <c r="P69" s="36" t="s">
        <v>85</v>
      </c>
      <c r="Q69" s="52" t="s">
        <v>146</v>
      </c>
      <c r="R69" s="13" t="s">
        <v>37</v>
      </c>
      <c r="S69" s="62">
        <v>46252</v>
      </c>
      <c r="T69" s="11"/>
    </row>
    <row r="70" spans="1:20" s="10" customFormat="1" ht="23.25" customHeight="1">
      <c r="A70" s="11" t="s">
        <v>127</v>
      </c>
      <c r="B70" s="11"/>
      <c r="C70" s="11"/>
      <c r="D70" s="11"/>
      <c r="E70" s="11"/>
      <c r="F70" s="13"/>
      <c r="G70" s="13"/>
      <c r="H70" s="13"/>
      <c r="I70" s="14"/>
      <c r="J70" s="13"/>
      <c r="K70" s="15" t="s">
        <v>35</v>
      </c>
      <c r="L70" s="16" t="s">
        <v>105</v>
      </c>
      <c r="M70" s="11" t="s">
        <v>131</v>
      </c>
      <c r="N70" s="52">
        <v>748332</v>
      </c>
      <c r="O70" s="13">
        <v>550000</v>
      </c>
      <c r="P70" s="36" t="s">
        <v>42</v>
      </c>
      <c r="Q70" s="52" t="s">
        <v>97</v>
      </c>
      <c r="R70" s="13" t="s">
        <v>37</v>
      </c>
      <c r="S70" s="62">
        <v>46284</v>
      </c>
      <c r="T70" s="11"/>
    </row>
    <row r="71" spans="1:20" s="10" customFormat="1" ht="23.25" customHeight="1">
      <c r="A71" s="11" t="s">
        <v>127</v>
      </c>
      <c r="B71" s="11"/>
      <c r="C71" s="11"/>
      <c r="D71" s="11"/>
      <c r="E71" s="11"/>
      <c r="F71" s="13"/>
      <c r="G71" s="13"/>
      <c r="H71" s="13"/>
      <c r="I71" s="14"/>
      <c r="J71" s="13"/>
      <c r="K71" s="15" t="s">
        <v>35</v>
      </c>
      <c r="L71" s="16" t="s">
        <v>105</v>
      </c>
      <c r="M71" s="11" t="s">
        <v>131</v>
      </c>
      <c r="N71" s="52">
        <v>748331</v>
      </c>
      <c r="O71" s="13">
        <v>550000</v>
      </c>
      <c r="P71" s="36" t="s">
        <v>42</v>
      </c>
      <c r="Q71" s="52" t="s">
        <v>97</v>
      </c>
      <c r="R71" s="13" t="s">
        <v>37</v>
      </c>
      <c r="S71" s="52" t="s">
        <v>98</v>
      </c>
      <c r="T71" s="11"/>
    </row>
    <row r="72" spans="1:20" s="10" customFormat="1" ht="23.25" customHeight="1">
      <c r="A72" s="11" t="s">
        <v>127</v>
      </c>
      <c r="B72" s="11"/>
      <c r="C72" s="11"/>
      <c r="D72" s="11"/>
      <c r="E72" s="11"/>
      <c r="F72" s="13"/>
      <c r="G72" s="13"/>
      <c r="H72" s="13"/>
      <c r="I72" s="14"/>
      <c r="J72" s="13"/>
      <c r="K72" s="15" t="s">
        <v>35</v>
      </c>
      <c r="L72" s="16" t="s">
        <v>105</v>
      </c>
      <c r="M72" s="11" t="s">
        <v>131</v>
      </c>
      <c r="N72" s="52">
        <v>748338</v>
      </c>
      <c r="O72" s="13">
        <v>550000</v>
      </c>
      <c r="P72" s="36" t="s">
        <v>86</v>
      </c>
      <c r="Q72" s="52" t="s">
        <v>147</v>
      </c>
      <c r="R72" s="13" t="s">
        <v>37</v>
      </c>
      <c r="S72" s="62">
        <v>46290</v>
      </c>
      <c r="T72" s="11"/>
    </row>
    <row r="73" spans="1:20" s="10" customFormat="1" ht="23.25" customHeight="1">
      <c r="A73" s="11" t="s">
        <v>127</v>
      </c>
      <c r="B73" s="11"/>
      <c r="C73" s="11"/>
      <c r="D73" s="11"/>
      <c r="E73" s="11"/>
      <c r="F73" s="13"/>
      <c r="G73" s="13"/>
      <c r="H73" s="13"/>
      <c r="I73" s="14"/>
      <c r="J73" s="13"/>
      <c r="K73" s="15" t="s">
        <v>35</v>
      </c>
      <c r="L73" s="16" t="s">
        <v>105</v>
      </c>
      <c r="M73" s="11" t="s">
        <v>131</v>
      </c>
      <c r="N73" s="52">
        <v>748339</v>
      </c>
      <c r="O73" s="13">
        <v>550000</v>
      </c>
      <c r="P73" s="36" t="s">
        <v>86</v>
      </c>
      <c r="Q73" s="52" t="s">
        <v>147</v>
      </c>
      <c r="R73" s="13" t="s">
        <v>37</v>
      </c>
      <c r="S73" s="62">
        <v>46290</v>
      </c>
      <c r="T73" s="11"/>
    </row>
    <row r="74" spans="1:20" s="10" customFormat="1" ht="23.25" customHeight="1">
      <c r="A74" s="39"/>
      <c r="B74" s="40" t="s">
        <v>47</v>
      </c>
      <c r="C74" s="40" t="s">
        <v>47</v>
      </c>
      <c r="D74" s="40" t="s">
        <v>47</v>
      </c>
      <c r="E74" s="40" t="s">
        <v>47</v>
      </c>
      <c r="F74" s="41">
        <f t="shared" ref="F74:I74" si="6">SUM(F58:F59)</f>
        <v>54</v>
      </c>
      <c r="G74" s="41">
        <f t="shared" si="6"/>
        <v>2338.1999999999998</v>
      </c>
      <c r="H74" s="41">
        <f t="shared" si="6"/>
        <v>1602.1</v>
      </c>
      <c r="I74" s="41">
        <f t="shared" si="6"/>
        <v>927.91700000000003</v>
      </c>
      <c r="J74" s="41">
        <f>SUM(J58:J59)</f>
        <v>3.2759999999999998</v>
      </c>
      <c r="K74" s="42"/>
      <c r="L74" s="42"/>
      <c r="M74" s="42"/>
      <c r="N74" s="41"/>
      <c r="O74" s="41"/>
      <c r="P74" s="41"/>
      <c r="Q74" s="41"/>
      <c r="R74" s="41"/>
      <c r="S74" s="41"/>
      <c r="T74" s="41"/>
    </row>
    <row r="75" spans="1:20" s="10" customFormat="1" ht="23.25" customHeight="1">
      <c r="A75" s="11" t="s">
        <v>148</v>
      </c>
      <c r="B75" s="11" t="s">
        <v>149</v>
      </c>
      <c r="C75" s="11" t="s">
        <v>150</v>
      </c>
      <c r="D75" s="11" t="s">
        <v>150</v>
      </c>
      <c r="E75" s="66" t="s">
        <v>151</v>
      </c>
      <c r="F75" s="13">
        <v>12</v>
      </c>
      <c r="G75" s="13">
        <v>519.6</v>
      </c>
      <c r="H75" s="13">
        <v>0</v>
      </c>
      <c r="I75" s="14">
        <v>0</v>
      </c>
      <c r="J75" s="13">
        <v>0</v>
      </c>
      <c r="K75" s="15" t="s">
        <v>35</v>
      </c>
      <c r="L75" s="16" t="s">
        <v>36</v>
      </c>
      <c r="M75" s="11" t="s">
        <v>52</v>
      </c>
      <c r="N75" s="52">
        <v>555474</v>
      </c>
      <c r="O75" s="59">
        <v>1100000</v>
      </c>
      <c r="P75" s="35" t="s">
        <v>86</v>
      </c>
      <c r="Q75" s="35">
        <v>46733</v>
      </c>
      <c r="R75" s="29" t="s">
        <v>37</v>
      </c>
      <c r="S75" s="35" t="s">
        <v>150</v>
      </c>
      <c r="T75" s="11"/>
    </row>
    <row r="76" spans="1:20" s="10" customFormat="1" ht="23.25" customHeight="1">
      <c r="A76" s="11" t="s">
        <v>148</v>
      </c>
      <c r="B76" s="11"/>
      <c r="C76" s="11"/>
      <c r="D76" s="11"/>
      <c r="E76" s="66"/>
      <c r="F76" s="13"/>
      <c r="G76" s="13"/>
      <c r="H76" s="13"/>
      <c r="I76" s="14"/>
      <c r="J76" s="13"/>
      <c r="K76" s="15" t="s">
        <v>35</v>
      </c>
      <c r="L76" s="16" t="s">
        <v>36</v>
      </c>
      <c r="M76" s="11" t="s">
        <v>52</v>
      </c>
      <c r="N76" s="52">
        <v>555475</v>
      </c>
      <c r="O76" s="59">
        <v>1100000</v>
      </c>
      <c r="P76" s="35" t="s">
        <v>86</v>
      </c>
      <c r="Q76" s="35">
        <v>46733</v>
      </c>
      <c r="R76" s="29" t="s">
        <v>37</v>
      </c>
      <c r="S76" s="35" t="s">
        <v>150</v>
      </c>
      <c r="T76" s="11"/>
    </row>
    <row r="77" spans="1:20" s="10" customFormat="1" ht="23.25" customHeight="1">
      <c r="A77" s="11" t="s">
        <v>148</v>
      </c>
      <c r="B77" s="11"/>
      <c r="C77" s="11"/>
      <c r="D77" s="11"/>
      <c r="E77" s="66"/>
      <c r="F77" s="13"/>
      <c r="G77" s="13"/>
      <c r="H77" s="13"/>
      <c r="I77" s="14"/>
      <c r="J77" s="13"/>
      <c r="K77" s="15" t="s">
        <v>35</v>
      </c>
      <c r="L77" s="16" t="s">
        <v>36</v>
      </c>
      <c r="M77" s="11" t="s">
        <v>52</v>
      </c>
      <c r="N77" s="52">
        <v>555473</v>
      </c>
      <c r="O77" s="59">
        <v>1100000</v>
      </c>
      <c r="P77" s="35" t="s">
        <v>86</v>
      </c>
      <c r="Q77" s="35">
        <v>46733</v>
      </c>
      <c r="R77" s="29" t="s">
        <v>37</v>
      </c>
      <c r="S77" s="35" t="s">
        <v>150</v>
      </c>
      <c r="T77" s="11"/>
    </row>
    <row r="78" spans="1:20" s="10" customFormat="1" ht="23.25" customHeight="1">
      <c r="A78" s="39"/>
      <c r="B78" s="40"/>
      <c r="C78" s="40"/>
      <c r="D78" s="40"/>
      <c r="E78" s="40"/>
      <c r="F78" s="41">
        <f>SUM(F75)</f>
        <v>12</v>
      </c>
      <c r="G78" s="41">
        <f>SUM(G75)</f>
        <v>519.6</v>
      </c>
      <c r="H78" s="41">
        <f>SUM(H75)</f>
        <v>0</v>
      </c>
      <c r="I78" s="41">
        <f>SUM(I75)</f>
        <v>0</v>
      </c>
      <c r="J78" s="41">
        <f>SUM(J75)</f>
        <v>0</v>
      </c>
      <c r="K78" s="42"/>
      <c r="L78" s="42"/>
      <c r="M78" s="42"/>
      <c r="N78" s="42"/>
      <c r="O78" s="42"/>
      <c r="P78" s="42"/>
      <c r="Q78" s="42"/>
      <c r="R78" s="42"/>
      <c r="S78" s="42"/>
      <c r="T78" s="42"/>
    </row>
    <row r="79" spans="1:20" s="70" customFormat="1" ht="23.25" customHeight="1">
      <c r="A79" s="67"/>
      <c r="B79" s="67"/>
      <c r="C79" s="67"/>
      <c r="D79" s="67"/>
      <c r="E79" s="68"/>
      <c r="F79" s="69">
        <f>F78+F74+F57+F50+F48+F45+F40+F38+F27</f>
        <v>585</v>
      </c>
      <c r="G79" s="69">
        <f>G78+G74+G57+G50+G48+G45+G40+G38+G27</f>
        <v>25330.5</v>
      </c>
      <c r="H79" s="69">
        <f>H78+H74+H57+H50+H48+H45+H40+H38+H27</f>
        <v>19059.182000000001</v>
      </c>
      <c r="I79" s="69">
        <f>I78+I74+I57+I50+I48+I45+I40+I38+I27</f>
        <v>11101.439000000002</v>
      </c>
      <c r="J79" s="69">
        <f>J78+J74+J57+J50+J48+J45+J40+J38+J27</f>
        <v>1668.229</v>
      </c>
      <c r="K79" s="69"/>
      <c r="L79" s="69"/>
      <c r="M79" s="69"/>
      <c r="N79" s="69"/>
      <c r="O79" s="69"/>
      <c r="P79" s="69"/>
      <c r="Q79" s="69"/>
      <c r="R79" s="69"/>
      <c r="S79" s="69"/>
      <c r="T79" s="69"/>
    </row>
    <row r="81" spans="8:17">
      <c r="H81" s="71"/>
      <c r="I81" s="72"/>
      <c r="J81" s="72"/>
    </row>
    <row r="83" spans="8:17">
      <c r="J83" s="73"/>
    </row>
    <row r="87" spans="8:17" ht="18.75">
      <c r="Q87" s="74" t="s">
        <v>152</v>
      </c>
    </row>
    <row r="88" spans="8:17" ht="18.75">
      <c r="Q88" s="74" t="s">
        <v>153</v>
      </c>
    </row>
    <row r="89" spans="8:17" ht="18.75">
      <c r="Q89" s="74"/>
    </row>
  </sheetData>
  <mergeCells count="63">
    <mergeCell ref="Q22:Q23"/>
    <mergeCell ref="S22:S23"/>
    <mergeCell ref="T22:T23"/>
    <mergeCell ref="J22:J23"/>
    <mergeCell ref="L22:L23"/>
    <mergeCell ref="M22:M23"/>
    <mergeCell ref="N22:N23"/>
    <mergeCell ref="O22:O23"/>
    <mergeCell ref="P22:P23"/>
    <mergeCell ref="A20:T20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P14:P15"/>
    <mergeCell ref="Q14:Q15"/>
    <mergeCell ref="S14:S15"/>
    <mergeCell ref="T14:T15"/>
    <mergeCell ref="A16:T16"/>
    <mergeCell ref="A19:T19"/>
    <mergeCell ref="I14:I15"/>
    <mergeCell ref="J14:J15"/>
    <mergeCell ref="L14:L15"/>
    <mergeCell ref="M14:M15"/>
    <mergeCell ref="N14:N15"/>
    <mergeCell ref="O14:O15"/>
    <mergeCell ref="A11:T11"/>
    <mergeCell ref="A12:T12"/>
    <mergeCell ref="A14:A15"/>
    <mergeCell ref="B14:B15"/>
    <mergeCell ref="C14:C15"/>
    <mergeCell ref="D14:D15"/>
    <mergeCell ref="E14:E15"/>
    <mergeCell ref="F14:F15"/>
    <mergeCell ref="G14:G15"/>
    <mergeCell ref="H14:H15"/>
    <mergeCell ref="O6:O7"/>
    <mergeCell ref="P6:P7"/>
    <mergeCell ref="Q6:Q7"/>
    <mergeCell ref="S6:S7"/>
    <mergeCell ref="T6:T7"/>
    <mergeCell ref="A8:T8"/>
    <mergeCell ref="H6:H7"/>
    <mergeCell ref="I6:I7"/>
    <mergeCell ref="J6:J7"/>
    <mergeCell ref="L6:L7"/>
    <mergeCell ref="M6:M7"/>
    <mergeCell ref="N6:N7"/>
    <mergeCell ref="A1:T1"/>
    <mergeCell ref="A2:T2"/>
    <mergeCell ref="A4:T4"/>
    <mergeCell ref="A6:A7"/>
    <mergeCell ref="B6:B7"/>
    <mergeCell ref="C6:C7"/>
    <mergeCell ref="D6:D7"/>
    <mergeCell ref="E6:E7"/>
    <mergeCell ref="F6:F7"/>
    <mergeCell ref="G6:G7"/>
  </mergeCells>
  <pageMargins left="0.21" right="0.16" top="0.36" bottom="0.38" header="0.3" footer="0.3"/>
  <pageSetup paperSize="9" scale="50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 REPORT</vt:lpstr>
      <vt:lpstr>'AG REPORT'!Print_Area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</dc:creator>
  <cp:lastModifiedBy>Techno</cp:lastModifiedBy>
  <dcterms:created xsi:type="dcterms:W3CDTF">2026-10-06T06:46:20Z</dcterms:created>
  <dcterms:modified xsi:type="dcterms:W3CDTF">2026-10-06T06:46:42Z</dcterms:modified>
</cp:coreProperties>
</file>